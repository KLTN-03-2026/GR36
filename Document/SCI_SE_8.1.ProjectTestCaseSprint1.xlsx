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DDB1E9A9-72B2-4F70-8FA9-8EC7D9494515}" xr6:coauthVersionLast="47" xr6:coauthVersionMax="47" xr10:uidLastSave="{00000000-0000-0000-0000-000000000000}"/>
  <bookViews>
    <workbookView xWindow="-108" yWindow="-108" windowWidth="23256" windowHeight="13896" tabRatio="896" activeTab="3" xr2:uid="{00000000-000D-0000-FFFF-FFFF00000000}"/>
  </bookViews>
  <sheets>
    <sheet name="Trường hợp kiểm thử" sheetId="1" r:id="rId1"/>
    <sheet name="Báo cáo kiểm tra" sheetId="10" state="hidden" r:id="rId2"/>
    <sheet name="Đăng nhập" sheetId="3" r:id="rId3"/>
    <sheet name="Danh sách tài khoản" sheetId="33" r:id="rId4"/>
    <sheet name="Tra cứu nhật ký" sheetId="34" r:id="rId5"/>
    <sheet name="Quản lý thiết bị" sheetId="35"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 i="1" l="1"/>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P21" i="10" l="1"/>
  <c r="N21" i="10"/>
  <c r="O21" i="10"/>
  <c r="D24" i="10"/>
  <c r="C24" i="10"/>
</calcChain>
</file>

<file path=xl/sharedStrings.xml><?xml version="1.0" encoding="utf-8"?>
<sst xmlns="http://schemas.openxmlformats.org/spreadsheetml/2006/main" count="527" uniqueCount="206">
  <si>
    <t>TEST CASE SYSTEM SPRINT 1</t>
  </si>
  <si>
    <t>Tên dự án</t>
  </si>
  <si>
    <t>STT</t>
  </si>
  <si>
    <t>Chức năng</t>
  </si>
  <si>
    <t>Sheet Name</t>
  </si>
  <si>
    <t>Số lượng test</t>
  </si>
  <si>
    <t>Mô tả</t>
  </si>
  <si>
    <t>Đăng nhập</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</si>
  <si>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</si>
  <si>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</si>
  <si>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</si>
  <si>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</si>
  <si>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</si>
  <si>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</si>
  <si>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</si>
  <si>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</si>
  <si>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</si>
  <si>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</si>
  <si>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</si>
  <si>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</si>
  <si>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</si>
  <si>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</si>
  <si>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</si>
  <si>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</si>
  <si>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</si>
  <si>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</si>
  <si>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</si>
  <si>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</si>
  <si>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</si>
  <si>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</si>
  <si>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</si>
  <si>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</si>
  <si>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</si>
  <si>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</si>
  <si>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</si>
  <si>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</si>
  <si>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</si>
  <si>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</si>
  <si>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</si>
  <si>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</si>
  <si>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</si>
  <si>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</si>
  <si>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</si>
  <si>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</si>
  <si>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</si>
  <si>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Round 1</t>
  </si>
  <si>
    <t>Round 2</t>
  </si>
  <si>
    <t>Test Case ID</t>
  </si>
  <si>
    <t>Kết quả mong đợi</t>
  </si>
  <si>
    <t>Kết quả thực tế</t>
  </si>
  <si>
    <t>Kết quả</t>
  </si>
  <si>
    <t>Chú thích</t>
  </si>
  <si>
    <t>Trạng thái</t>
  </si>
  <si>
    <t>Ngày kiểm tra</t>
  </si>
  <si>
    <t>Người kiểm tra</t>
  </si>
  <si>
    <t>Passed</t>
  </si>
  <si>
    <t>Quy trình</t>
  </si>
  <si>
    <t>Tổng lần kiểm tra</t>
  </si>
  <si>
    <t>Menu tồn tại trên giao diện</t>
  </si>
  <si>
    <t xml:space="preserve"> - Text: Black
 - Status: Enable</t>
  </si>
  <si>
    <t>[Tìm kiếm] Search Bar</t>
  </si>
  <si>
    <t xml:space="preserve"> - Text: White
 - Status: Enable</t>
  </si>
  <si>
    <t>Kiểm tra chức năng tìm kiếm người dùng</t>
  </si>
  <si>
    <t>Dữ liệu người dùng đã tồn tại</t>
  </si>
  <si>
    <t>Hiển thị danh sách người dùng có tên hoặc thông tin phù hợp với từ khóa</t>
  </si>
  <si>
    <t>Nút "Sửa" hiển thị trên bảng</t>
  </si>
  <si>
    <t>Dữ liệu người dùng đã tồn tại trong hệ thống</t>
  </si>
  <si>
    <t xml:space="preserve">Xây dựng hệ thống quản lý phòng gym thông minh, tích hợp AI hỗ trợ ra quyết định kinh doanh </t>
  </si>
  <si>
    <t>Danh sách tài khoản</t>
  </si>
  <si>
    <t>Tra cứu nhật ký</t>
  </si>
  <si>
    <t>Tổng:</t>
  </si>
  <si>
    <t>XÂY DỰNG HỆ THỐNG QUẢN LÝ PHÒNG GYM THÔNG MINH, TÍCH HỢP AI HỖ TRỢ RA QUYẾT ĐỊNH KINH DOANH</t>
  </si>
  <si>
    <t>Quản trị tài khoản hệ thống</t>
  </si>
  <si>
    <t xml:space="preserve">GUI_SHOW Danh sách tài khoản </t>
  </si>
  <si>
    <t>GUI-DSTK01</t>
  </si>
  <si>
    <t>Kiểm tra menu "Danh Sách Tài Khoản"</t>
  </si>
  <si>
    <t>Label: "Danh Sách Tài Khoản"; trạng thái enable</t>
  </si>
  <si>
    <t>Đông</t>
  </si>
  <si>
    <t>GUI-DSTK02</t>
  </si>
  <si>
    <t>[Tạo tài khoản mới] Button</t>
  </si>
  <si>
    <t xml:space="preserve"> - Text: While
 - Status: Enable</t>
  </si>
  <si>
    <t>GUI-DSTK03</t>
  </si>
  <si>
    <t>GUI-DSTK04</t>
  </si>
  <si>
    <t>[Lọc] Button</t>
  </si>
  <si>
    <t>GUI-DSTK05</t>
  </si>
  <si>
    <t>[Chi tiết người dùng] Button</t>
  </si>
  <si>
    <t xml:space="preserve"> - Icon: Blue
 - Status: Enable</t>
  </si>
  <si>
    <t>GUI-DSTK06</t>
  </si>
  <si>
    <t>[Chỉnh sửa tài khoản] Button</t>
  </si>
  <si>
    <t xml:space="preserve"> - Icon: Green
 - Status: Enable</t>
  </si>
  <si>
    <t>GUI-DSTK07</t>
  </si>
  <si>
    <t>[Khóa tài khoản] Button</t>
  </si>
  <si>
    <t xml:space="preserve"> - Icon: Orange
 - Status: Enable</t>
  </si>
  <si>
    <t>GUI-DSTK08</t>
  </si>
  <si>
    <t>[Đặt lại mật khẩu] Button</t>
  </si>
  <si>
    <t xml:space="preserve"> - Icon: Purple
 - Status: Enable</t>
  </si>
  <si>
    <t>GUI-DSTK09</t>
  </si>
  <si>
    <t>[Xóa tài khoản] Button</t>
  </si>
  <si>
    <t xml:space="preserve"> - Icon: Red
 - Status: Enable</t>
  </si>
  <si>
    <t>GUI-DSTK10</t>
  </si>
  <si>
    <t>[Xóa bộ lọc] Button</t>
  </si>
  <si>
    <t xml:space="preserve"> - Text: Red 
 - Status: Enable</t>
  </si>
  <si>
    <t>GUI-DSTK11</t>
  </si>
  <si>
    <t>[Vai trò] Dropbox</t>
  </si>
  <si>
    <t>GUI-DSTK12</t>
  </si>
  <si>
    <t>[Trạng thái] Dropbox</t>
  </si>
  <si>
    <t xml:space="preserve">FUNCTION_SHOW Danh sách tài khoản </t>
  </si>
  <si>
    <t>FUN-DSTK01</t>
  </si>
  <si>
    <t>1. Mở giao diện "Quản lý tài khoản".
2. Nhập từ khóa (VD: "Minh") vào ô tìm kiếm.
3. Nhấn phím "Enter" hoặc nút tìm kiếm.</t>
  </si>
  <si>
    <t>FUN-DSTK02</t>
  </si>
  <si>
    <t>Kiểm tra nút "Tạo tài khoản mới" hoạt động</t>
  </si>
  <si>
    <t xml:space="preserve">1. Mở giao diện "Quản lý tài khoản".
2. Nhấn nút "Tạo tài khoản mới" ở góc trên bên phải giao diện.
3. Nhập thông tin tài khoản.
4. Chọn tạo tài khoản.
5. Thông báo tài khoản tạo thành công </t>
  </si>
  <si>
    <t>Nút "Tạo tài khoản mới" hiển thị trên giao diện</t>
  </si>
  <si>
    <t>Mở lên cửa sổ modal Tạo tài khoản mới, nhập thông tin tài khoản và bấm "Tạo tài khoản", tài khoản được thêm hiển thị trên danh sách.</t>
  </si>
  <si>
    <t>FUN-DSTK03</t>
  </si>
  <si>
    <t>Kiểm tra nút "Chỉnh sửa tài khoản" hoạt động</t>
  </si>
  <si>
    <t>1. Mở giao diện "Quản lý tài khoản".
2. Trong danh sách, nhấn nút "Chỉnh sửa tài khoản" cột hành động ở dòng chứa thông tin người dùng cần chỉnh sửa.
3. Nhập các thông tin cần chỉnh sửa. 
4. Nhấn nút "Lưu thay đổi".
5. Thông báo tài khoản thay đổi thành công.</t>
  </si>
  <si>
    <t>Mở lên cửa sổ modal Chỉnh sửa tài khoản , nhập thông tin tài khoản và bấm "Lưu thay đổi", tài khoản được chỉnh sửa hiển thị trên danh sách.</t>
  </si>
  <si>
    <t>FUN-DSTK04</t>
  </si>
  <si>
    <t>Kiểm tra nút "Khóa tài khoản" hoạt động</t>
  </si>
  <si>
    <t>1. Mở giao diện "Quản lý tài khoản".
2. Trong danh sách, nhấn nút "Khóa tài khoản" cột hành động ở dòng chứa thông tin người dùng cần khóa.
3. Thông báo khóa tài khoản thành công.
4. Cột trạng thái ở dòng chứa thông tin người dùng sẽ hiển thị "Đã khóa".</t>
  </si>
  <si>
    <t>Admin có quyền khóa</t>
  </si>
  <si>
    <t>Hiển thị thông báo, khóa thành công và cập nhật lại trạng thái</t>
  </si>
  <si>
    <t>FUN-DSTK05</t>
  </si>
  <si>
    <t xml:space="preserve">Lọc người dùng </t>
  </si>
  <si>
    <t>1. Mở giao diện "Quản lý tài khoản".
2. Chọn nút "Lọc"
3. Thanh lọc trượt xuống ngay dưới thanh tìm kiếm.
4. Chọn vai trò, trạng thái cần lọc.
5. Hiển thị kết quả lọc.</t>
  </si>
  <si>
    <t>Hiển thị vai trò, trạng thái đã lọc trong danh sách</t>
  </si>
  <si>
    <t xml:space="preserve">Tra cứu nhật ký </t>
  </si>
  <si>
    <t xml:space="preserve">GUI_SHOW Danh sách nhật ký </t>
  </si>
  <si>
    <t>GUI-DSNK01</t>
  </si>
  <si>
    <t>Kiểm tra menu "Danh Sách Nhật Ký"</t>
  </si>
  <si>
    <t>Label: "Danh Sách Nhật Ký"; trạng thái enable</t>
  </si>
  <si>
    <t>GUI-DSNK02</t>
  </si>
  <si>
    <t>[Xuất báo cáo] Button</t>
  </si>
  <si>
    <t>GUI-DSNK03</t>
  </si>
  <si>
    <t>GUI-DSNK04</t>
  </si>
  <si>
    <t>[Lọc dữ liệu] Button</t>
  </si>
  <si>
    <t>GUI-DSNK05</t>
  </si>
  <si>
    <t>[Ngày bắt đầu] date-input</t>
  </si>
  <si>
    <t>GUI-DSNK06</t>
  </si>
  <si>
    <t>[Ngày kết thúc] date-input</t>
  </si>
  <si>
    <t>GUI-DSNK07</t>
  </si>
  <si>
    <t>[Chi tiết nhật ký] Button</t>
  </si>
  <si>
    <t xml:space="preserve"> - Icon: Black
 - Status: Enable</t>
  </si>
  <si>
    <t>GUI-DSNK08</t>
  </si>
  <si>
    <t>[Xóa nhật ký] Button</t>
  </si>
  <si>
    <t>GUI-DSNK09</t>
  </si>
  <si>
    <t>[Tất cả danh mục] Dropbox</t>
  </si>
  <si>
    <t>1. Mở giao diện "Tra cứu nhật ký".
2. Nhập từ khóa (VD: "Minh") vào ô tìm kiếm.
3. Nhấn button "Lọc dữ liệu".</t>
  </si>
  <si>
    <t>Hiển thị danh sách nhật ký có tên hoặc thông tin phù hợp với từ khóa</t>
  </si>
  <si>
    <t>Kiểm tra nút "Xuất báo cáo" hoạt động</t>
  </si>
  <si>
    <t>1. Mở giao diện ""Tra cứu nhật ký"".
2. Nhấn nút "Xuất báo cáo" ở góc trên bên phải giao diện.
3. Lưu file vào thiết bị.</t>
  </si>
  <si>
    <t>File được lưu vào thiết bị</t>
  </si>
  <si>
    <t>Kiểm tra nút "Chi tiết nhật ký" hoạt động</t>
  </si>
  <si>
    <t>1. Mở giao diện ""Tra cứu nhật ký"".
2. Trong danh sách, nhấn nút "chi tiết" cột hành động ở dòng chứa thông tin nhật ký cần xem.
3. Mở ra modal xem chi tiết.</t>
  </si>
  <si>
    <t xml:space="preserve">Mở lên cửa sổ modal Chi tiết nhật ký </t>
  </si>
  <si>
    <t>Kiểm tra nút "Xóa nhật ký" hoạt động</t>
  </si>
  <si>
    <t>1. Mở giao diện ""Tra cứu nhật ký"".
2. Trong danh sách, nhấn nút "Xóa" ở dòng chứa thông tin nhật ký cần xem.
3. Xác nhận xóa.
4. Thông báo xóa nhật ký thành công.</t>
  </si>
  <si>
    <t>Hiển thị thông báo xác nhận, xóa thành công và cập nhật lại danh sách.</t>
  </si>
  <si>
    <t>Kiểm tra nút "Lọc dữ liệu" hoạt động</t>
  </si>
  <si>
    <t>1. Mở giao diện ""Tra cứu nhật ký"".
2. Ở phần lọc dữ liệu, nhập các thông tin cần lọc.
3. Nhấn nút "Lọc dữ liệu"  
4. Cập nhật lại menu dữ liệu theo thông tin lọc.</t>
  </si>
  <si>
    <t>Hiển thị danh sách nhật ký có theo thông tin đã lọc.</t>
  </si>
  <si>
    <t xml:space="preserve">Quản lí thiết bị </t>
  </si>
  <si>
    <t xml:space="preserve">GUI_SHOW Danh sách thiết bị phòng tập  </t>
  </si>
  <si>
    <t>Kiểm tra hiển thị "Danh Sách Thiết Bị Phòng Tập"</t>
  </si>
  <si>
    <t xml:space="preserve">Hiển thị danh sách thiết bị phòng tập thành công </t>
  </si>
  <si>
    <t>Trọng</t>
  </si>
  <si>
    <t>[Thêm thiết bị] Button</t>
  </si>
  <si>
    <t>[Chi tiết] Button</t>
  </si>
  <si>
    <t>[Xóa thiết bị] Button</t>
  </si>
  <si>
    <t>[Tất cả trạng thái] Dropbox</t>
  </si>
  <si>
    <t>[Lịch bảo trì] Button</t>
  </si>
  <si>
    <t>[Chỉnh sửa] Button</t>
  </si>
  <si>
    <t xml:space="preserve"> - Text: Green
 - Status: Enable</t>
  </si>
  <si>
    <t>[Thêm lịch] Button</t>
  </si>
  <si>
    <t xml:space="preserve">FUNCTION_SHOW Thiết bị phòng tập </t>
  </si>
  <si>
    <t xml:space="preserve">Kiểm tra nút "Thêm thiết bị" </t>
  </si>
  <si>
    <t>1. Mở giao diện "Quản lí thiết bị phòng tập".
2. Nhấn button "Thêm thiết bị".
3. Nhập thông tin  
4. Bấm Lưu thiết bị.</t>
  </si>
  <si>
    <t>Thêm thành công thiết bị mới</t>
  </si>
  <si>
    <t>Kiểm tra nút "Chi tiết"</t>
  </si>
  <si>
    <t>1. Mở giao diện "Quản lí thiết bị phòng tập".
2. Nhấn nút "Chi tiết".</t>
  </si>
  <si>
    <t>Hiển thị thông tin chi tiết của thiết bị</t>
  </si>
  <si>
    <t>Kiểm tra nút "Xóa thiết bị" hoạt động</t>
  </si>
  <si>
    <t>1. Mở giao diện ""Quản lí thiết bị phòng tập".
2. Nhấn nút "Xóa".</t>
  </si>
  <si>
    <t>Xóa thành công thiết bị</t>
  </si>
  <si>
    <t>Kiểm tra nút "Tất cả trạng thái" hoạt động</t>
  </si>
  <si>
    <t>1. Mở giao diện "Quản lí thiết bị phòng tập".
2. Nhấn nút "Tất cả trạng thái".
3. Bấm chọn "Đang sử dụng".</t>
  </si>
  <si>
    <t>Hiển thị danh sách các thiết bị đang sử dụng.</t>
  </si>
  <si>
    <t>1. Mở giao diện "Quản lí thiết bị phòng tập".
2. Nhấn nút "Tất cả trạng thái".
3. Bấm chọn "Đang bảo trì".</t>
  </si>
  <si>
    <t>Hiển thị danh sách các thiết bị đang bảo trì.</t>
  </si>
  <si>
    <t>FUN-DSTK06</t>
  </si>
  <si>
    <t>1. Mở giao diện "Quản lí thiết bị phòng tập".
2. Nhấn nút "Tất cả trạng thái".
3. Bấm chọn "Hỏng".</t>
  </si>
  <si>
    <t>Hiển thị danh sách các thiết bị đang hỏng.</t>
  </si>
  <si>
    <t>FUN-DSTK07</t>
  </si>
  <si>
    <t>Kiểm tra nút "Lịch bảo trì" hoạt động</t>
  </si>
  <si>
    <t>1. Mở giao diện "Quản lí thiết bị phòng tập".
2. Nhấn nút "Lịch bảo trì".</t>
  </si>
  <si>
    <t>Hiển thị danh sách lịch bảo trì của thiết bị.</t>
  </si>
  <si>
    <t>FUN-DSTK08</t>
  </si>
  <si>
    <t>Kiểm tra nút "Chỉnh sửa" hoạt động</t>
  </si>
  <si>
    <t>1. Mở giao diện "Quản lí thiết bị phòng tập".
2. Ở phần chi tiết, Nhấn nút "Chỉnh sửa".
3. Sửa lại thông tin   
4. Bấm "Lưu thiết bị".</t>
  </si>
  <si>
    <t>Chỉnh sửa thành công thông tin thiết bị</t>
  </si>
  <si>
    <t>FUN-DSTK09</t>
  </si>
  <si>
    <t>Kiểm tra nút "Thêm lịch" hoạt động</t>
  </si>
  <si>
    <t>1. Mở giao diện "Quản lí thiết bị phòng tập".
2. Ở phần chi tiết, Nhấn nút "Thêm lịch".
3. Nhập thông tin.  
4. Bấm "Lưu lịch".</t>
  </si>
  <si>
    <t>Thêm thành công lịch bảo trì mới</t>
  </si>
  <si>
    <t>Quản lý thiết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</si>
</sst>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21">
    <font>
      <sz val="11"/>
      <color theme="1"/>
      <name val="Arial"/>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b/>
      <sz val="13"/>
      <color theme="0"/>
      <name val="Times New Roman"/>
      <family val="1"/>
    </font>
    <font>
      <u/>
      <sz val="11"/>
      <color theme="10"/>
      <name val="Arial"/>
      <family val="2"/>
      <scheme val="minor"/>
    </font>
    <font>
      <sz val="13"/>
      <color rgb="FF000000"/>
      <name val="Times New Roman"/>
    </font>
  </fonts>
  <fills count="10">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249977111117893"/>
        <bgColor indexed="64"/>
      </patternFill>
    </fill>
    <fill>
      <patternFill patternType="solid">
        <fgColor theme="8" tint="-0.249977111117893"/>
        <bgColor indexed="38"/>
      </patternFill>
    </fill>
  </fills>
  <borders count="33">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19" fillId="0" borderId="0" applyNumberFormat="0" applyFill="0" applyBorder="0" applyAlignment="0" applyProtection="0"/>
  </cellStyleXfs>
  <cellXfs count="128">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17" fillId="3" borderId="4" xfId="1" applyFont="1" applyFill="1" applyBorder="1" applyAlignment="1" applyProtection="1">
      <alignment horizontal="center"/>
    </xf>
    <xf numFmtId="0" fontId="17"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17"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9" fontId="17"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0" borderId="0" xfId="0" applyFont="1" applyAlignment="1">
      <alignment vertical="center"/>
    </xf>
    <xf numFmtId="0" fontId="5" fillId="0" borderId="15" xfId="1" applyFont="1" applyBorder="1" applyAlignment="1" applyProtection="1">
      <alignment horizontal="center"/>
    </xf>
    <xf numFmtId="165" fontId="5" fillId="0" borderId="15" xfId="2" applyNumberFormat="1" applyFont="1" applyBorder="1" applyAlignment="1" applyProtection="1">
      <alignment horizontal="center"/>
    </xf>
    <xf numFmtId="1" fontId="5" fillId="0" borderId="15" xfId="2" applyNumberFormat="1" applyFont="1" applyBorder="1" applyAlignment="1" applyProtection="1">
      <alignment horizontal="center"/>
    </xf>
    <xf numFmtId="0" fontId="6" fillId="0" borderId="15" xfId="0" applyFont="1" applyBorder="1" applyAlignment="1">
      <alignment horizontal="center"/>
    </xf>
    <xf numFmtId="0" fontId="5" fillId="2" borderId="15" xfId="1" applyFont="1" applyFill="1" applyBorder="1" applyAlignment="1" applyProtection="1">
      <alignment horizontal="center"/>
    </xf>
    <xf numFmtId="0" fontId="4" fillId="2" borderId="15" xfId="1" applyFont="1" applyFill="1" applyBorder="1" applyAlignment="1" applyProtection="1"/>
    <xf numFmtId="165" fontId="4" fillId="2" borderId="15" xfId="1" applyNumberFormat="1" applyFont="1" applyFill="1" applyBorder="1" applyAlignment="1" applyProtection="1">
      <alignment horizontal="center"/>
    </xf>
    <xf numFmtId="0" fontId="18" fillId="5" borderId="15" xfId="0" applyFont="1" applyFill="1" applyBorder="1"/>
    <xf numFmtId="0" fontId="6" fillId="0" borderId="15" xfId="0" applyFont="1" applyBorder="1"/>
    <xf numFmtId="0" fontId="18" fillId="5" borderId="15" xfId="0" applyFont="1" applyFill="1" applyBorder="1" applyAlignment="1">
      <alignment horizontal="center" vertical="center"/>
    </xf>
    <xf numFmtId="0" fontId="18" fillId="5" borderId="15" xfId="0" applyFont="1" applyFill="1" applyBorder="1" applyAlignment="1">
      <alignment horizontal="center" vertical="center" wrapText="1"/>
    </xf>
    <xf numFmtId="0" fontId="14" fillId="0" borderId="15" xfId="0" applyFont="1" applyBorder="1"/>
    <xf numFmtId="0" fontId="6" fillId="0" borderId="15" xfId="0" applyFont="1" applyBorder="1" applyAlignment="1">
      <alignment horizontal="right" vertical="top" wrapText="1"/>
    </xf>
    <xf numFmtId="164" fontId="18" fillId="9" borderId="15" xfId="0" applyNumberFormat="1" applyFont="1" applyFill="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6" fillId="0" borderId="15" xfId="0" applyFont="1" applyBorder="1" applyAlignment="1">
      <alignment horizontal="left" vertical="top" wrapText="1"/>
    </xf>
    <xf numFmtId="14" fontId="6" fillId="0" borderId="15" xfId="0" applyNumberFormat="1" applyFont="1" applyBorder="1" applyAlignment="1">
      <alignment horizontal="left" vertical="top" wrapText="1"/>
    </xf>
    <xf numFmtId="0" fontId="6" fillId="3" borderId="15" xfId="3" applyFont="1" applyFill="1" applyBorder="1" applyAlignment="1">
      <alignment horizontal="left" vertical="top" wrapText="1"/>
    </xf>
    <xf numFmtId="0" fontId="6" fillId="3" borderId="15" xfId="0" applyFont="1" applyFill="1" applyBorder="1" applyAlignment="1">
      <alignment horizontal="left" vertical="top" wrapText="1"/>
    </xf>
    <xf numFmtId="0" fontId="6" fillId="6" borderId="28" xfId="0" applyFont="1" applyFill="1" applyBorder="1" applyAlignment="1">
      <alignment horizontal="center" vertical="center"/>
    </xf>
    <xf numFmtId="0" fontId="6" fillId="0" borderId="28" xfId="0" applyFont="1" applyBorder="1"/>
    <xf numFmtId="0" fontId="6" fillId="0" borderId="28" xfId="0" applyFont="1" applyBorder="1" applyAlignment="1">
      <alignment horizontal="center" vertical="center"/>
    </xf>
    <xf numFmtId="0" fontId="12" fillId="0" borderId="23" xfId="1" applyFont="1" applyBorder="1" applyAlignment="1" applyProtection="1">
      <alignment horizontal="center" vertical="center"/>
    </xf>
    <xf numFmtId="0" fontId="12" fillId="0" borderId="23" xfId="1" applyFont="1" applyBorder="1" applyAlignment="1" applyProtection="1">
      <alignment horizontal="center"/>
    </xf>
    <xf numFmtId="0" fontId="12" fillId="0" borderId="23" xfId="1" applyFont="1" applyBorder="1" applyAlignment="1" applyProtection="1">
      <alignment horizontal="center" vertical="top"/>
    </xf>
    <xf numFmtId="0" fontId="6" fillId="0" borderId="23" xfId="0" applyFont="1" applyBorder="1" applyAlignment="1">
      <alignment horizontal="center"/>
    </xf>
    <xf numFmtId="0" fontId="12" fillId="0" borderId="27" xfId="1" applyFont="1" applyBorder="1" applyProtection="1">
      <alignment vertical="center"/>
    </xf>
    <xf numFmtId="0" fontId="15" fillId="0" borderId="27" xfId="1" applyFont="1" applyBorder="1" applyAlignment="1" applyProtection="1">
      <alignment vertical="top" wrapText="1"/>
    </xf>
    <xf numFmtId="0" fontId="5" fillId="0" borderId="27" xfId="1" applyFont="1" applyBorder="1" applyAlignment="1" applyProtection="1">
      <alignment wrapText="1"/>
    </xf>
    <xf numFmtId="0" fontId="12" fillId="0" borderId="28" xfId="1" applyFont="1" applyBorder="1" applyProtection="1">
      <alignment vertical="center"/>
    </xf>
    <xf numFmtId="0" fontId="15" fillId="0" borderId="28" xfId="1" applyFont="1" applyBorder="1" applyAlignment="1" applyProtection="1">
      <alignment vertical="top" wrapText="1"/>
    </xf>
    <xf numFmtId="0" fontId="12" fillId="0" borderId="28" xfId="1" applyFont="1" applyBorder="1" applyAlignment="1" applyProtection="1"/>
    <xf numFmtId="0" fontId="16" fillId="0" borderId="28" xfId="1" applyFont="1" applyBorder="1" applyAlignment="1" applyProtection="1"/>
    <xf numFmtId="0" fontId="4" fillId="2" borderId="28" xfId="1" applyFont="1" applyFill="1" applyBorder="1" applyAlignment="1" applyProtection="1">
      <alignment horizontal="center" vertical="center"/>
    </xf>
    <xf numFmtId="0" fontId="4" fillId="2" borderId="28" xfId="1" applyFont="1" applyFill="1" applyBorder="1" applyAlignment="1" applyProtection="1">
      <alignment horizontal="center" vertical="center" wrapText="1"/>
    </xf>
    <xf numFmtId="0" fontId="13" fillId="0" borderId="23" xfId="0" applyFont="1" applyBorder="1" applyAlignment="1">
      <alignment horizontal="center"/>
    </xf>
    <xf numFmtId="0" fontId="13" fillId="0" borderId="23" xfId="0" applyFont="1" applyBorder="1" applyAlignment="1">
      <alignment vertical="center" wrapText="1"/>
    </xf>
    <xf numFmtId="0" fontId="5" fillId="0" borderId="28" xfId="1" applyFont="1" applyBorder="1" applyAlignment="1" applyProtection="1">
      <alignment horizontal="center"/>
    </xf>
    <xf numFmtId="165" fontId="5" fillId="0" borderId="28" xfId="2" applyNumberFormat="1" applyFont="1" applyBorder="1" applyAlignment="1" applyProtection="1">
      <alignment horizontal="center"/>
    </xf>
    <xf numFmtId="1" fontId="5" fillId="0" borderId="28" xfId="2" applyNumberFormat="1" applyFont="1" applyBorder="1" applyAlignment="1" applyProtection="1">
      <alignment horizontal="center"/>
    </xf>
    <xf numFmtId="0" fontId="13" fillId="0" borderId="27" xfId="0" applyFont="1" applyBorder="1" applyAlignment="1">
      <alignment horizontal="center"/>
    </xf>
    <xf numFmtId="0" fontId="13" fillId="0" borderId="27" xfId="0" applyFont="1" applyBorder="1" applyAlignment="1">
      <alignment vertical="center" wrapText="1"/>
    </xf>
    <xf numFmtId="0" fontId="13" fillId="0" borderId="29" xfId="0" applyFont="1" applyBorder="1" applyAlignment="1">
      <alignment horizontal="center"/>
    </xf>
    <xf numFmtId="0" fontId="13" fillId="0" borderId="29" xfId="0" applyFont="1" applyBorder="1" applyAlignment="1">
      <alignment vertical="center" wrapText="1"/>
    </xf>
    <xf numFmtId="0" fontId="5" fillId="0" borderId="31" xfId="1" applyFont="1" applyBorder="1" applyAlignment="1" applyProtection="1"/>
    <xf numFmtId="0" fontId="5" fillId="0" borderId="31" xfId="1" applyFont="1" applyBorder="1" applyProtection="1">
      <alignment vertical="center"/>
    </xf>
    <xf numFmtId="0" fontId="5" fillId="0" borderId="31" xfId="1" applyFont="1" applyBorder="1" applyAlignment="1" applyProtection="1">
      <alignment horizontal="center" wrapText="1"/>
    </xf>
    <xf numFmtId="0" fontId="5" fillId="0" borderId="32" xfId="1" applyFont="1" applyBorder="1" applyAlignment="1" applyProtection="1">
      <alignment horizontal="center" wrapText="1"/>
    </xf>
    <xf numFmtId="0" fontId="18" fillId="9" borderId="15" xfId="0" applyFont="1" applyFill="1" applyBorder="1" applyAlignment="1">
      <alignment horizontal="left" vertical="top" wrapText="1"/>
    </xf>
    <xf numFmtId="0" fontId="14" fillId="0" borderId="23" xfId="0" applyFont="1" applyFill="1" applyBorder="1" applyAlignment="1">
      <alignment horizontal="center" vertical="center"/>
    </xf>
    <xf numFmtId="0" fontId="6" fillId="0" borderId="0" xfId="0" applyFont="1" applyFill="1"/>
    <xf numFmtId="0" fontId="14" fillId="0" borderId="27" xfId="0" applyFont="1" applyFill="1" applyBorder="1" applyAlignment="1">
      <alignment horizontal="center" vertical="center"/>
    </xf>
    <xf numFmtId="0" fontId="14" fillId="0" borderId="15" xfId="0" applyFont="1" applyBorder="1" applyAlignment="1">
      <alignment horizontal="center" vertical="center"/>
    </xf>
    <xf numFmtId="0" fontId="14" fillId="6" borderId="30" xfId="0" applyFont="1" applyFill="1" applyBorder="1" applyAlignment="1">
      <alignment horizontal="center" vertical="center"/>
    </xf>
    <xf numFmtId="0" fontId="14" fillId="6" borderId="19" xfId="0" applyFont="1" applyFill="1" applyBorder="1" applyAlignment="1">
      <alignment horizontal="center" vertical="center"/>
    </xf>
    <xf numFmtId="0" fontId="6"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4" xfId="0" applyFont="1" applyFill="1" applyBorder="1" applyAlignment="1">
      <alignment horizontal="center" vertical="center" wrapText="1"/>
    </xf>
    <xf numFmtId="0" fontId="14" fillId="0" borderId="25" xfId="0" applyFont="1" applyFill="1" applyBorder="1" applyAlignment="1">
      <alignment horizontal="center" vertical="center"/>
    </xf>
    <xf numFmtId="0" fontId="14" fillId="0" borderId="26" xfId="0" applyFont="1" applyFill="1" applyBorder="1" applyAlignment="1">
      <alignment horizontal="center" vertical="center"/>
    </xf>
    <xf numFmtId="164" fontId="12" fillId="0" borderId="28" xfId="1" applyNumberFormat="1" applyFont="1" applyBorder="1" applyAlignment="1" applyProtection="1">
      <alignment horizontal="center" vertical="center"/>
    </xf>
    <xf numFmtId="0" fontId="12" fillId="0" borderId="28" xfId="1" applyFont="1" applyBorder="1" applyAlignment="1" applyProtection="1">
      <alignment horizontal="center" vertical="center" wrapText="1"/>
    </xf>
    <xf numFmtId="0" fontId="6" fillId="0" borderId="23" xfId="0" applyFont="1" applyBorder="1" applyAlignment="1">
      <alignment horizontal="center"/>
    </xf>
    <xf numFmtId="0" fontId="12" fillId="0" borderId="23" xfId="1" applyFont="1" applyBorder="1" applyAlignment="1" applyProtection="1">
      <alignment horizontal="left"/>
    </xf>
    <xf numFmtId="0" fontId="15" fillId="0" borderId="27" xfId="1" applyFont="1" applyBorder="1" applyAlignment="1" applyProtection="1">
      <alignment vertical="top" wrapText="1"/>
    </xf>
    <xf numFmtId="0" fontId="12" fillId="0" borderId="28" xfId="1" applyFont="1" applyBorder="1" applyAlignment="1" applyProtection="1">
      <alignment horizontal="center" vertical="center"/>
    </xf>
    <xf numFmtId="15" fontId="6" fillId="0" borderId="24" xfId="0" applyNumberFormat="1" applyFont="1" applyBorder="1" applyAlignment="1">
      <alignment horizontal="center"/>
    </xf>
    <xf numFmtId="15" fontId="6" fillId="0" borderId="25" xfId="0" applyNumberFormat="1" applyFont="1" applyBorder="1" applyAlignment="1">
      <alignment horizontal="center"/>
    </xf>
    <xf numFmtId="15" fontId="6" fillId="0" borderId="26" xfId="0" applyNumberFormat="1" applyFont="1" applyBorder="1" applyAlignment="1">
      <alignment horizontal="center"/>
    </xf>
    <xf numFmtId="0" fontId="12" fillId="0" borderId="24" xfId="1" applyFont="1" applyBorder="1" applyAlignment="1" applyProtection="1">
      <alignment horizontal="center" vertical="top"/>
    </xf>
    <xf numFmtId="0" fontId="12" fillId="0" borderId="25" xfId="1" applyFont="1" applyBorder="1" applyAlignment="1" applyProtection="1">
      <alignment horizontal="center" vertical="top"/>
    </xf>
    <xf numFmtId="0" fontId="12" fillId="0" borderId="26" xfId="1" applyFont="1" applyBorder="1" applyAlignment="1" applyProtection="1">
      <alignment horizontal="center" vertical="top"/>
    </xf>
    <xf numFmtId="0" fontId="14" fillId="0" borderId="24"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0" fontId="7" fillId="0" borderId="0" xfId="1" applyFont="1" applyBorder="1" applyAlignment="1" applyProtection="1">
      <alignment horizontal="center"/>
    </xf>
    <xf numFmtId="0" fontId="12" fillId="0" borderId="23" xfId="1" applyFont="1" applyBorder="1" applyAlignment="1" applyProtection="1">
      <alignment horizontal="center"/>
    </xf>
    <xf numFmtId="0" fontId="18" fillId="8" borderId="15" xfId="0" applyFont="1" applyFill="1" applyBorder="1" applyAlignment="1">
      <alignment horizontal="left" vertical="top" wrapText="1"/>
    </xf>
    <xf numFmtId="0" fontId="14" fillId="7" borderId="16" xfId="0" applyFont="1" applyFill="1" applyBorder="1" applyAlignment="1">
      <alignment horizontal="left" vertical="top" wrapText="1"/>
    </xf>
    <xf numFmtId="0" fontId="14" fillId="7" borderId="17" xfId="0" applyFont="1" applyFill="1" applyBorder="1" applyAlignment="1">
      <alignment horizontal="left" vertical="top" wrapText="1"/>
    </xf>
    <xf numFmtId="0" fontId="14" fillId="7" borderId="18" xfId="0" applyFont="1" applyFill="1" applyBorder="1" applyAlignment="1">
      <alignment horizontal="left" vertical="top" wrapText="1"/>
    </xf>
    <xf numFmtId="0" fontId="14" fillId="4" borderId="16" xfId="0" applyFont="1" applyFill="1" applyBorder="1" applyAlignment="1">
      <alignment horizontal="left" vertical="center"/>
    </xf>
    <xf numFmtId="0" fontId="14" fillId="4" borderId="17" xfId="0" applyFont="1" applyFill="1" applyBorder="1" applyAlignment="1">
      <alignment horizontal="left" vertical="center"/>
    </xf>
    <xf numFmtId="0" fontId="14" fillId="4" borderId="18" xfId="0" applyFont="1" applyFill="1" applyBorder="1" applyAlignment="1">
      <alignment horizontal="left" vertical="center"/>
    </xf>
    <xf numFmtId="0" fontId="14" fillId="0" borderId="15" xfId="0" applyFont="1" applyBorder="1" applyAlignment="1">
      <alignment horizontal="left"/>
    </xf>
    <xf numFmtId="0" fontId="6" fillId="0" borderId="15" xfId="0" applyFont="1" applyBorder="1" applyAlignment="1">
      <alignment horizontal="left"/>
    </xf>
    <xf numFmtId="0" fontId="18" fillId="9" borderId="15" xfId="0" applyFont="1" applyFill="1" applyBorder="1" applyAlignment="1">
      <alignment horizontal="left" vertical="top" wrapText="1"/>
    </xf>
    <xf numFmtId="0" fontId="20" fillId="0" borderId="28" xfId="0" applyFont="1" applyBorder="1" applyAlignment="1">
      <alignment horizontal="left" vertical="top"/>
    </xf>
    <xf numFmtId="0" fontId="6" fillId="0" borderId="28" xfId="0" applyFont="1" applyBorder="1" applyAlignment="1">
      <alignment horizontal="left" vertical="top"/>
    </xf>
    <xf numFmtId="0" fontId="5" fillId="6" borderId="28" xfId="4" applyFont="1" applyFill="1" applyBorder="1" applyAlignment="1">
      <alignment horizontal="left" vertical="center"/>
    </xf>
    <xf numFmtId="0" fontId="5" fillId="0" borderId="28" xfId="4" applyFont="1" applyBorder="1" applyAlignment="1">
      <alignment horizontal="left" vertical="center" wrapText="1"/>
    </xf>
    <xf numFmtId="0" fontId="5" fillId="0" borderId="28" xfId="4" applyFont="1" applyBorder="1" applyAlignment="1">
      <alignment horizontal="left"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xdr:row>
      <xdr:rowOff>0</xdr:rowOff>
    </xdr:from>
    <xdr:to>
      <xdr:col>4</xdr:col>
      <xdr:colOff>1657351</xdr:colOff>
      <xdr:row>6</xdr:row>
      <xdr:rowOff>4253946</xdr:rowOff>
    </xdr:to>
    <xdr:pic>
      <xdr:nvPicPr>
        <xdr:cNvPr id="2" name="Picture 1">
          <a:extLst>
            <a:ext uri="{FF2B5EF4-FFF2-40B4-BE49-F238E27FC236}">
              <a16:creationId xmlns:a16="http://schemas.microsoft.com/office/drawing/2014/main" id="{5C0B7633-10AA-4310-ADDE-5204BF3EA341}"/>
            </a:ext>
          </a:extLst>
        </xdr:cNvPr>
        <xdr:cNvPicPr>
          <a:picLocks noChangeAspect="1"/>
        </xdr:cNvPicPr>
      </xdr:nvPicPr>
      <xdr:blipFill>
        <a:blip xmlns:r="http://schemas.openxmlformats.org/officeDocument/2006/relationships" r:embed="rId1"/>
        <a:stretch>
          <a:fillRect/>
        </a:stretch>
      </xdr:blipFill>
      <xdr:spPr>
        <a:xfrm>
          <a:off x="1" y="1009650"/>
          <a:ext cx="13773150" cy="8578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1</xdr:rowOff>
    </xdr:from>
    <xdr:to>
      <xdr:col>4</xdr:col>
      <xdr:colOff>2766060</xdr:colOff>
      <xdr:row>6</xdr:row>
      <xdr:rowOff>4457964</xdr:rowOff>
    </xdr:to>
    <xdr:pic>
      <xdr:nvPicPr>
        <xdr:cNvPr id="2" name="Picture 1">
          <a:extLst>
            <a:ext uri="{FF2B5EF4-FFF2-40B4-BE49-F238E27FC236}">
              <a16:creationId xmlns:a16="http://schemas.microsoft.com/office/drawing/2014/main" id="{4B1724B1-110E-4B1D-B4DA-7AB330169808}"/>
            </a:ext>
          </a:extLst>
        </xdr:cNvPr>
        <xdr:cNvPicPr>
          <a:picLocks noChangeAspect="1"/>
        </xdr:cNvPicPr>
      </xdr:nvPicPr>
      <xdr:blipFill>
        <a:blip xmlns:r="http://schemas.openxmlformats.org/officeDocument/2006/relationships" r:embed="rId1"/>
        <a:stretch>
          <a:fillRect/>
        </a:stretch>
      </xdr:blipFill>
      <xdr:spPr>
        <a:xfrm>
          <a:off x="0" y="1034144"/>
          <a:ext cx="14876417" cy="9304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4</xdr:row>
      <xdr:rowOff>202347</xdr:rowOff>
    </xdr:from>
    <xdr:to>
      <xdr:col>6</xdr:col>
      <xdr:colOff>617221</xdr:colOff>
      <xdr:row>29</xdr:row>
      <xdr:rowOff>2117758</xdr:rowOff>
    </xdr:to>
    <xdr:pic>
      <xdr:nvPicPr>
        <xdr:cNvPr id="2" name="Picture 1">
          <a:extLst>
            <a:ext uri="{FF2B5EF4-FFF2-40B4-BE49-F238E27FC236}">
              <a16:creationId xmlns:a16="http://schemas.microsoft.com/office/drawing/2014/main" id="{E276430F-A37A-45B4-BC5B-DE22503476B6}"/>
            </a:ext>
          </a:extLst>
        </xdr:cNvPr>
        <xdr:cNvPicPr>
          <a:picLocks noChangeAspect="1"/>
        </xdr:cNvPicPr>
      </xdr:nvPicPr>
      <xdr:blipFill>
        <a:blip xmlns:r="http://schemas.openxmlformats.org/officeDocument/2006/relationships" r:embed="rId1"/>
        <a:stretch>
          <a:fillRect/>
        </a:stretch>
      </xdr:blipFill>
      <xdr:spPr>
        <a:xfrm>
          <a:off x="1" y="1025307"/>
          <a:ext cx="18448020" cy="60346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zoomScaleNormal="100" workbookViewId="0">
      <selection activeCell="C21" sqref="C21"/>
    </sheetView>
  </sheetViews>
  <sheetFormatPr defaultColWidth="9.09765625" defaultRowHeight="16.8"/>
  <cols>
    <col min="1" max="1" width="10.09765625" style="8" customWidth="1"/>
    <col min="2" max="2" width="41.59765625" style="8" customWidth="1"/>
    <col min="3" max="3" width="41" style="8" customWidth="1"/>
    <col min="4" max="4" width="18.09765625" style="8" customWidth="1"/>
    <col min="5" max="5" width="13.09765625" style="8" customWidth="1"/>
    <col min="6" max="16384" width="9.09765625" style="8"/>
  </cols>
  <sheetData>
    <row r="1" spans="1:5">
      <c r="A1" s="87" t="s">
        <v>0</v>
      </c>
      <c r="B1" s="88"/>
      <c r="C1" s="88"/>
      <c r="D1" s="89"/>
    </row>
    <row r="2" spans="1:5">
      <c r="A2" s="90"/>
      <c r="B2" s="91"/>
      <c r="C2" s="91"/>
      <c r="D2" s="92"/>
    </row>
    <row r="3" spans="1:5" s="81" customFormat="1">
      <c r="A3" s="80" t="s">
        <v>1</v>
      </c>
      <c r="B3" s="93" t="s">
        <v>67</v>
      </c>
      <c r="C3" s="94"/>
      <c r="D3" s="95"/>
    </row>
    <row r="4" spans="1:5" s="81" customFormat="1">
      <c r="A4" s="82" t="s">
        <v>2</v>
      </c>
      <c r="B4" s="82" t="s">
        <v>3</v>
      </c>
      <c r="C4" s="82" t="s">
        <v>4</v>
      </c>
      <c r="D4" s="82" t="s">
        <v>5</v>
      </c>
      <c r="E4" s="82" t="s">
        <v>6</v>
      </c>
    </row>
    <row r="5" spans="1:5">
      <c r="A5" s="50">
        <v>1</v>
      </c>
      <c r="B5" s="123" t="s">
        <v>68</v>
      </c>
      <c r="C5" s="125" t="s">
        <v>68</v>
      </c>
      <c r="D5" s="51">
        <v>17</v>
      </c>
      <c r="E5" s="84" t="s">
        <v>77</v>
      </c>
    </row>
    <row r="6" spans="1:5">
      <c r="A6" s="52">
        <v>2</v>
      </c>
      <c r="B6" s="124" t="s">
        <v>69</v>
      </c>
      <c r="C6" s="126" t="s">
        <v>69</v>
      </c>
      <c r="D6" s="51">
        <v>17</v>
      </c>
      <c r="E6" s="85"/>
    </row>
    <row r="7" spans="1:5">
      <c r="A7" s="86">
        <v>3</v>
      </c>
      <c r="B7" s="124" t="s">
        <v>205</v>
      </c>
      <c r="C7" s="126" t="s">
        <v>205</v>
      </c>
      <c r="D7" s="51">
        <v>17</v>
      </c>
      <c r="E7" s="83" t="s">
        <v>166</v>
      </c>
    </row>
    <row r="8" spans="1:5">
      <c r="A8" s="86"/>
      <c r="B8" s="124" t="s">
        <v>7</v>
      </c>
      <c r="C8" s="127"/>
      <c r="D8" s="51"/>
      <c r="E8" s="83"/>
    </row>
    <row r="9" spans="1:5">
      <c r="A9" s="86"/>
      <c r="B9" s="124"/>
      <c r="C9" s="127"/>
      <c r="D9" s="51"/>
      <c r="E9" s="83"/>
    </row>
    <row r="10" spans="1:5">
      <c r="A10" s="86">
        <v>4</v>
      </c>
      <c r="B10" s="124"/>
      <c r="C10" s="127"/>
      <c r="D10" s="51"/>
      <c r="E10" s="83"/>
    </row>
    <row r="11" spans="1:5">
      <c r="A11" s="86"/>
      <c r="B11" s="124"/>
      <c r="C11" s="127"/>
      <c r="D11" s="51"/>
      <c r="E11" s="83"/>
    </row>
    <row r="12" spans="1:5">
      <c r="A12" s="86"/>
      <c r="B12" s="124"/>
      <c r="C12" s="127"/>
      <c r="D12" s="51"/>
      <c r="E12" s="83"/>
    </row>
    <row r="13" spans="1:5">
      <c r="A13" s="86">
        <v>5</v>
      </c>
      <c r="B13" s="124"/>
      <c r="C13" s="127"/>
      <c r="D13" s="51"/>
      <c r="E13" s="83"/>
    </row>
    <row r="14" spans="1:5">
      <c r="A14" s="86"/>
      <c r="B14" s="124"/>
      <c r="C14" s="127"/>
      <c r="D14" s="51"/>
      <c r="E14" s="83"/>
    </row>
    <row r="15" spans="1:5">
      <c r="A15" s="86"/>
      <c r="B15" s="124"/>
      <c r="C15" s="127"/>
      <c r="D15" s="51"/>
      <c r="E15" s="83"/>
    </row>
    <row r="16" spans="1:5">
      <c r="A16" s="86">
        <v>6</v>
      </c>
      <c r="B16" s="124"/>
      <c r="C16" s="127"/>
      <c r="D16" s="51"/>
      <c r="E16" s="83"/>
    </row>
    <row r="17" spans="1:5">
      <c r="A17" s="86"/>
      <c r="B17" s="124"/>
      <c r="C17" s="127"/>
      <c r="D17" s="51"/>
      <c r="E17" s="83"/>
    </row>
    <row r="18" spans="1:5">
      <c r="A18" s="86"/>
      <c r="B18" s="124"/>
      <c r="C18" s="127"/>
      <c r="D18" s="51"/>
      <c r="E18" s="83"/>
    </row>
    <row r="19" spans="1:5">
      <c r="A19" s="52">
        <v>7</v>
      </c>
      <c r="B19" s="124"/>
      <c r="C19" s="127"/>
      <c r="D19" s="51"/>
      <c r="E19" s="83"/>
    </row>
    <row r="20" spans="1:5">
      <c r="C20" s="8" t="s">
        <v>70</v>
      </c>
      <c r="D20" s="8">
        <f>SUM(D5:D19)</f>
        <v>51</v>
      </c>
    </row>
  </sheetData>
  <mergeCells count="7">
    <mergeCell ref="E5:E6"/>
    <mergeCell ref="A13:A15"/>
    <mergeCell ref="A16:A18"/>
    <mergeCell ref="A1:D2"/>
    <mergeCell ref="B3:D3"/>
    <mergeCell ref="A7:A9"/>
    <mergeCell ref="A10:A12"/>
  </mergeCells>
  <hyperlinks>
    <hyperlink ref="C6" location="'Đổi mk'!A1" display="Đổi mật khẩu" xr:uid="{00000000-0004-0000-0000-000001000000}"/>
    <hyperlink ref="C5" location="'Đăng nhập'!A1" display="Đăng nhập" xr:uid="{00000000-0004-0000-0000-000000000000}"/>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09765625" defaultRowHeight="13.8"/>
  <cols>
    <col min="1" max="1" width="14.09765625" style="7" customWidth="1"/>
    <col min="2" max="2" width="33.296875" style="7" bestFit="1" customWidth="1"/>
    <col min="3" max="3" width="11.69921875" style="7" customWidth="1"/>
    <col min="4" max="10" width="9.09765625" style="7"/>
    <col min="11" max="11" width="13.59765625" style="7" customWidth="1"/>
    <col min="12" max="12" width="14.296875" style="7" customWidth="1"/>
    <col min="13" max="16384" width="9.09765625" style="7"/>
  </cols>
  <sheetData>
    <row r="1" spans="1:16" s="1" customFormat="1" ht="24.6">
      <c r="A1" s="111" t="s">
        <v>8</v>
      </c>
      <c r="B1" s="111"/>
      <c r="C1" s="111"/>
      <c r="D1" s="111"/>
      <c r="E1" s="111"/>
      <c r="F1" s="111"/>
      <c r="G1" s="111"/>
      <c r="H1" s="111"/>
      <c r="I1" s="111"/>
      <c r="J1" s="111"/>
      <c r="K1" s="111"/>
      <c r="L1" s="111"/>
      <c r="M1" s="111"/>
      <c r="N1" s="111"/>
      <c r="O1" s="111"/>
      <c r="P1" s="111"/>
    </row>
    <row r="2" spans="1:16" s="1" customFormat="1" ht="13.2">
      <c r="A2" s="2"/>
      <c r="B2" s="3"/>
      <c r="C2" s="3"/>
      <c r="D2" s="3"/>
      <c r="E2" s="3"/>
      <c r="F2" s="3"/>
      <c r="G2" s="3"/>
      <c r="H2" s="3"/>
      <c r="I2" s="3"/>
      <c r="J2" s="3"/>
      <c r="K2" s="3"/>
      <c r="L2" s="3"/>
      <c r="M2" s="4"/>
      <c r="N2" s="4"/>
      <c r="O2" s="4"/>
      <c r="P2" s="4"/>
    </row>
    <row r="3" spans="1:16" s="1" customFormat="1" ht="16.8">
      <c r="A3" s="53" t="s">
        <v>1</v>
      </c>
      <c r="B3" s="112" t="s">
        <v>9</v>
      </c>
      <c r="C3" s="112"/>
      <c r="D3" s="54"/>
      <c r="E3" s="99" t="s">
        <v>10</v>
      </c>
      <c r="F3" s="99"/>
      <c r="G3" s="99"/>
      <c r="H3" s="105" t="s">
        <v>11</v>
      </c>
      <c r="I3" s="106"/>
      <c r="J3" s="106"/>
      <c r="K3" s="107"/>
      <c r="L3" s="55"/>
      <c r="M3" s="55"/>
      <c r="N3" s="55"/>
      <c r="O3" s="55"/>
      <c r="P3" s="55"/>
    </row>
    <row r="4" spans="1:16" s="1" customFormat="1" ht="16.8">
      <c r="A4" s="53"/>
      <c r="B4" s="98"/>
      <c r="C4" s="98"/>
      <c r="D4" s="56"/>
      <c r="E4" s="99" t="s">
        <v>12</v>
      </c>
      <c r="F4" s="99"/>
      <c r="G4" s="99"/>
      <c r="H4" s="108" t="s">
        <v>13</v>
      </c>
      <c r="I4" s="109"/>
      <c r="J4" s="109"/>
      <c r="K4" s="110"/>
      <c r="L4" s="56"/>
      <c r="M4" s="55"/>
      <c r="N4" s="55"/>
      <c r="O4" s="55"/>
      <c r="P4" s="55"/>
    </row>
    <row r="5" spans="1:16" s="1" customFormat="1" ht="16.8">
      <c r="A5" s="53"/>
      <c r="B5" s="98"/>
      <c r="C5" s="98"/>
      <c r="D5" s="56"/>
      <c r="E5" s="99" t="s">
        <v>14</v>
      </c>
      <c r="F5" s="99"/>
      <c r="G5" s="99"/>
      <c r="H5" s="102">
        <v>44114</v>
      </c>
      <c r="I5" s="103"/>
      <c r="J5" s="103"/>
      <c r="K5" s="104"/>
      <c r="L5" s="56"/>
      <c r="M5" s="55"/>
      <c r="N5" s="55"/>
      <c r="O5" s="55"/>
      <c r="P5" s="55"/>
    </row>
    <row r="6" spans="1:16" s="1" customFormat="1" ht="20.25" customHeight="1">
      <c r="A6" s="57" t="s">
        <v>15</v>
      </c>
      <c r="B6" s="100" t="s">
        <v>16</v>
      </c>
      <c r="C6" s="100"/>
      <c r="D6" s="100"/>
      <c r="E6" s="100"/>
      <c r="F6" s="100"/>
      <c r="G6" s="100"/>
      <c r="H6" s="100"/>
      <c r="I6" s="100"/>
      <c r="J6" s="100"/>
      <c r="K6" s="100"/>
      <c r="L6" s="58"/>
      <c r="M6" s="59"/>
      <c r="N6" s="59"/>
      <c r="O6" s="59"/>
      <c r="P6" s="59"/>
    </row>
    <row r="7" spans="1:16" s="1" customFormat="1" ht="20.25" customHeight="1">
      <c r="A7" s="60"/>
      <c r="B7" s="61"/>
      <c r="C7" s="101" t="s">
        <v>17</v>
      </c>
      <c r="D7" s="101"/>
      <c r="E7" s="101" t="s">
        <v>18</v>
      </c>
      <c r="F7" s="101"/>
      <c r="G7" s="101" t="s">
        <v>19</v>
      </c>
      <c r="H7" s="101"/>
      <c r="I7" s="101" t="s">
        <v>20</v>
      </c>
      <c r="J7" s="101"/>
      <c r="K7" s="101" t="s">
        <v>21</v>
      </c>
      <c r="L7" s="101"/>
      <c r="M7" s="96" t="s">
        <v>22</v>
      </c>
      <c r="N7" s="96"/>
      <c r="O7" s="97" t="s">
        <v>23</v>
      </c>
      <c r="P7" s="97"/>
    </row>
    <row r="8" spans="1:16" s="1" customFormat="1" ht="16.8">
      <c r="A8" s="62"/>
      <c r="B8" s="63"/>
      <c r="C8" s="101"/>
      <c r="D8" s="101"/>
      <c r="E8" s="101"/>
      <c r="F8" s="101"/>
      <c r="G8" s="101"/>
      <c r="H8" s="101"/>
      <c r="I8" s="101"/>
      <c r="J8" s="101"/>
      <c r="K8" s="101"/>
      <c r="L8" s="101"/>
      <c r="M8" s="96"/>
      <c r="N8" s="96"/>
      <c r="O8" s="97"/>
      <c r="P8" s="97"/>
    </row>
    <row r="9" spans="1:16" s="5" customFormat="1" ht="22.5" customHeight="1">
      <c r="A9" s="64" t="s">
        <v>2</v>
      </c>
      <c r="B9" s="64" t="s">
        <v>24</v>
      </c>
      <c r="C9" s="65" t="s">
        <v>25</v>
      </c>
      <c r="D9" s="65" t="s">
        <v>26</v>
      </c>
      <c r="E9" s="65" t="s">
        <v>25</v>
      </c>
      <c r="F9" s="65" t="s">
        <v>26</v>
      </c>
      <c r="G9" s="65" t="s">
        <v>25</v>
      </c>
      <c r="H9" s="65" t="s">
        <v>26</v>
      </c>
      <c r="I9" s="64" t="s">
        <v>25</v>
      </c>
      <c r="J9" s="65" t="s">
        <v>26</v>
      </c>
      <c r="K9" s="65" t="s">
        <v>25</v>
      </c>
      <c r="L9" s="65" t="s">
        <v>26</v>
      </c>
      <c r="M9" s="65" t="s">
        <v>25</v>
      </c>
      <c r="N9" s="65" t="s">
        <v>26</v>
      </c>
      <c r="O9" s="65" t="s">
        <v>25</v>
      </c>
      <c r="P9" s="65" t="s">
        <v>26</v>
      </c>
    </row>
    <row r="10" spans="1:16" s="1" customFormat="1" ht="31.65" customHeight="1">
      <c r="A10" s="66">
        <v>1</v>
      </c>
      <c r="B10" s="67" t="s">
        <v>7</v>
      </c>
      <c r="C10" s="68">
        <v>15</v>
      </c>
      <c r="D10" s="68">
        <v>15</v>
      </c>
      <c r="E10" s="68">
        <v>0</v>
      </c>
      <c r="F10" s="68">
        <f>'[1]Show Bus Routes List'!C6</f>
        <v>0</v>
      </c>
      <c r="G10" s="68">
        <f>'[1]Show Bus Routes List'!D5</f>
        <v>0</v>
      </c>
      <c r="H10" s="68">
        <f>'[1]Show Bus Routes List'!D6</f>
        <v>0</v>
      </c>
      <c r="I10" s="68">
        <f>'[1]Show Bus Routes List'!E5</f>
        <v>0</v>
      </c>
      <c r="J10" s="68">
        <f>'[1]Show Bus Routes List'!E6</f>
        <v>0</v>
      </c>
      <c r="K10" s="68">
        <v>15</v>
      </c>
      <c r="L10" s="68">
        <v>15</v>
      </c>
      <c r="M10" s="69">
        <f>ROUND(C10*100/K10,1)</f>
        <v>100</v>
      </c>
      <c r="N10" s="69">
        <f t="shared" ref="N10:N20" si="0">ROUND(D10*100/L10,1)</f>
        <v>100</v>
      </c>
      <c r="O10" s="69">
        <f t="shared" ref="O10:P17" si="1">ROUND((C10+E10)*100/K10,1)</f>
        <v>100</v>
      </c>
      <c r="P10" s="70">
        <f t="shared" si="1"/>
        <v>100</v>
      </c>
    </row>
    <row r="11" spans="1:16" s="1" customFormat="1" ht="31.65" customHeight="1">
      <c r="A11" s="66">
        <v>2</v>
      </c>
      <c r="B11" s="67" t="s">
        <v>27</v>
      </c>
      <c r="C11" s="68"/>
      <c r="D11" s="68"/>
      <c r="E11" s="68"/>
      <c r="F11" s="68"/>
      <c r="G11" s="68"/>
      <c r="H11" s="68"/>
      <c r="I11" s="68"/>
      <c r="J11" s="68"/>
      <c r="K11" s="68"/>
      <c r="L11" s="68"/>
      <c r="M11" s="69"/>
      <c r="N11" s="69"/>
      <c r="O11" s="69"/>
      <c r="P11" s="70"/>
    </row>
    <row r="12" spans="1:16" s="1" customFormat="1" ht="45" customHeight="1">
      <c r="A12" s="66">
        <v>3</v>
      </c>
      <c r="B12" s="67" t="s">
        <v>28</v>
      </c>
      <c r="C12" s="68">
        <v>12</v>
      </c>
      <c r="D12" s="68">
        <v>12</v>
      </c>
      <c r="E12" s="68">
        <v>0</v>
      </c>
      <c r="F12" s="68">
        <f>'[1]Show Bus Stops List'!C6</f>
        <v>0</v>
      </c>
      <c r="G12" s="68">
        <f>'[1]Show Bus Stops List'!D5</f>
        <v>0</v>
      </c>
      <c r="H12" s="68">
        <f>'[1]Show Bus Stops List'!D6</f>
        <v>0</v>
      </c>
      <c r="I12" s="68">
        <f>'[1]Show Bus Stops List'!E5</f>
        <v>0</v>
      </c>
      <c r="J12" s="68">
        <f>'[1]Show Bus Stops List'!E6</f>
        <v>0</v>
      </c>
      <c r="K12" s="68">
        <v>12</v>
      </c>
      <c r="L12" s="68">
        <v>12</v>
      </c>
      <c r="M12" s="69">
        <f t="shared" ref="M12:M20" si="2">ROUND(C12*100/K12,1)</f>
        <v>100</v>
      </c>
      <c r="N12" s="69">
        <f t="shared" si="0"/>
        <v>100</v>
      </c>
      <c r="O12" s="69">
        <f t="shared" si="1"/>
        <v>100</v>
      </c>
      <c r="P12" s="70">
        <f t="shared" si="1"/>
        <v>100</v>
      </c>
    </row>
    <row r="13" spans="1:16" s="1" customFormat="1" ht="45" customHeight="1">
      <c r="A13" s="71">
        <v>4</v>
      </c>
      <c r="B13" s="72" t="s">
        <v>29</v>
      </c>
      <c r="C13" s="68"/>
      <c r="D13" s="68"/>
      <c r="E13" s="68"/>
      <c r="F13" s="68"/>
      <c r="G13" s="68"/>
      <c r="H13" s="68"/>
      <c r="I13" s="68"/>
      <c r="J13" s="68"/>
      <c r="K13" s="68"/>
      <c r="L13" s="68"/>
      <c r="M13" s="69"/>
      <c r="N13" s="69"/>
      <c r="O13" s="69"/>
      <c r="P13" s="70"/>
    </row>
    <row r="14" spans="1:16" s="1" customFormat="1" ht="33.75" customHeight="1">
      <c r="A14" s="71">
        <v>5</v>
      </c>
      <c r="B14" s="72" t="s">
        <v>30</v>
      </c>
      <c r="C14" s="30">
        <v>8</v>
      </c>
      <c r="D14" s="30">
        <v>8</v>
      </c>
      <c r="E14" s="30" t="e">
        <f>#REF!</f>
        <v>#REF!</v>
      </c>
      <c r="F14" s="30" t="e">
        <f>#REF!</f>
        <v>#REF!</v>
      </c>
      <c r="G14" s="30" t="e">
        <f>#REF!</f>
        <v>#REF!</v>
      </c>
      <c r="H14" s="30" t="e">
        <f>#REF!</f>
        <v>#REF!</v>
      </c>
      <c r="I14" s="30" t="e">
        <f>#REF!</f>
        <v>#REF!</v>
      </c>
      <c r="J14" s="30" t="e">
        <f>#REF!</f>
        <v>#REF!</v>
      </c>
      <c r="K14" s="30">
        <v>4</v>
      </c>
      <c r="L14" s="30">
        <v>4</v>
      </c>
      <c r="M14" s="69">
        <f t="shared" si="2"/>
        <v>200</v>
      </c>
      <c r="N14" s="69">
        <f t="shared" si="0"/>
        <v>200</v>
      </c>
      <c r="O14" s="69" t="e">
        <f>ROUND((C14+E14)*100/K14,1)</f>
        <v>#REF!</v>
      </c>
      <c r="P14" s="70" t="e">
        <f t="shared" si="1"/>
        <v>#REF!</v>
      </c>
    </row>
    <row r="15" spans="1:16" s="1" customFormat="1" ht="33.75" customHeight="1">
      <c r="A15" s="71">
        <v>6</v>
      </c>
      <c r="B15" s="72" t="s">
        <v>31</v>
      </c>
      <c r="C15" s="30"/>
      <c r="D15" s="30"/>
      <c r="E15" s="30"/>
      <c r="F15" s="30"/>
      <c r="G15" s="30"/>
      <c r="H15" s="30"/>
      <c r="I15" s="30"/>
      <c r="J15" s="30"/>
      <c r="K15" s="30"/>
      <c r="L15" s="30"/>
      <c r="M15" s="31"/>
      <c r="N15" s="31"/>
      <c r="O15" s="31"/>
      <c r="P15" s="32"/>
    </row>
    <row r="16" spans="1:16" s="1" customFormat="1" ht="42" customHeight="1">
      <c r="A16" s="71">
        <v>7</v>
      </c>
      <c r="B16" s="72" t="s">
        <v>32</v>
      </c>
      <c r="C16" s="30">
        <v>15</v>
      </c>
      <c r="D16" s="30">
        <v>15</v>
      </c>
      <c r="E16" s="30">
        <v>0</v>
      </c>
      <c r="F16" s="30">
        <v>0</v>
      </c>
      <c r="G16" s="30">
        <v>0</v>
      </c>
      <c r="H16" s="30">
        <v>0</v>
      </c>
      <c r="I16" s="30">
        <v>0</v>
      </c>
      <c r="J16" s="30">
        <v>0</v>
      </c>
      <c r="K16" s="30">
        <v>15</v>
      </c>
      <c r="L16" s="30">
        <v>15</v>
      </c>
      <c r="M16" s="69">
        <f t="shared" si="2"/>
        <v>100</v>
      </c>
      <c r="N16" s="31">
        <v>100</v>
      </c>
      <c r="O16" s="31">
        <v>100</v>
      </c>
      <c r="P16" s="32">
        <v>100</v>
      </c>
    </row>
    <row r="17" spans="1:16" s="1" customFormat="1" ht="33.75" customHeight="1">
      <c r="A17" s="71">
        <v>8</v>
      </c>
      <c r="B17" s="72" t="s">
        <v>33</v>
      </c>
      <c r="C17" s="30">
        <v>20</v>
      </c>
      <c r="D17" s="30">
        <v>20</v>
      </c>
      <c r="E17" s="30" t="e">
        <f>#REF!</f>
        <v>#REF!</v>
      </c>
      <c r="F17" s="30" t="e">
        <f>#REF!</f>
        <v>#REF!</v>
      </c>
      <c r="G17" s="30" t="e">
        <f>#REF!</f>
        <v>#REF!</v>
      </c>
      <c r="H17" s="30" t="e">
        <f>#REF!</f>
        <v>#REF!</v>
      </c>
      <c r="I17" s="30" t="e">
        <f>#REF!</f>
        <v>#REF!</v>
      </c>
      <c r="J17" s="30" t="e">
        <f>#REF!</f>
        <v>#REF!</v>
      </c>
      <c r="K17" s="30">
        <v>20</v>
      </c>
      <c r="L17" s="30">
        <v>20</v>
      </c>
      <c r="M17" s="69">
        <f t="shared" si="2"/>
        <v>100</v>
      </c>
      <c r="N17" s="69">
        <f t="shared" si="0"/>
        <v>100</v>
      </c>
      <c r="O17" s="69" t="e">
        <f>ROUND((C17+E17)*100/K17,1)</f>
        <v>#REF!</v>
      </c>
      <c r="P17" s="70" t="e">
        <f t="shared" si="1"/>
        <v>#REF!</v>
      </c>
    </row>
    <row r="18" spans="1:16" s="1" customFormat="1" ht="21">
      <c r="A18" s="71">
        <v>9</v>
      </c>
      <c r="B18" s="72" t="s">
        <v>34</v>
      </c>
      <c r="C18" s="30">
        <v>27</v>
      </c>
      <c r="D18" s="30">
        <v>27</v>
      </c>
      <c r="E18" s="30" t="e">
        <f>#REF!</f>
        <v>#REF!</v>
      </c>
      <c r="F18" s="68">
        <v>0</v>
      </c>
      <c r="G18" s="30" t="e">
        <f>#REF!</f>
        <v>#REF!</v>
      </c>
      <c r="H18" s="30" t="e">
        <f>#REF!</f>
        <v>#REF!</v>
      </c>
      <c r="I18" s="30" t="e">
        <f>#REF!</f>
        <v>#REF!</v>
      </c>
      <c r="J18" s="30">
        <v>0</v>
      </c>
      <c r="K18" s="30">
        <v>27</v>
      </c>
      <c r="L18" s="30">
        <v>27</v>
      </c>
      <c r="M18" s="69">
        <f t="shared" si="2"/>
        <v>100</v>
      </c>
      <c r="N18" s="69">
        <f t="shared" si="0"/>
        <v>100</v>
      </c>
      <c r="O18" s="69" t="e">
        <f t="shared" ref="O18:O20" si="3">ROUND((C18+E18)*100/K18,1)</f>
        <v>#REF!</v>
      </c>
      <c r="P18" s="70">
        <f t="shared" ref="P18:P20" si="4">ROUND((D18+F18)*100/L18,1)</f>
        <v>100</v>
      </c>
    </row>
    <row r="19" spans="1:16" s="6" customFormat="1" ht="21">
      <c r="A19" s="73">
        <v>10</v>
      </c>
      <c r="B19" s="74" t="s">
        <v>35</v>
      </c>
      <c r="C19" s="33">
        <v>17</v>
      </c>
      <c r="D19" s="33">
        <v>17</v>
      </c>
      <c r="E19" s="30">
        <v>0</v>
      </c>
      <c r="F19" s="30" t="e">
        <f>#REF!</f>
        <v>#REF!</v>
      </c>
      <c r="G19" s="30">
        <v>0</v>
      </c>
      <c r="H19" s="30">
        <v>0</v>
      </c>
      <c r="I19" s="30">
        <v>0</v>
      </c>
      <c r="J19" s="30" t="e">
        <f>#REF!</f>
        <v>#REF!</v>
      </c>
      <c r="K19" s="33">
        <v>17</v>
      </c>
      <c r="L19" s="33">
        <v>17</v>
      </c>
      <c r="M19" s="69">
        <f t="shared" si="2"/>
        <v>100</v>
      </c>
      <c r="N19" s="69">
        <f t="shared" si="0"/>
        <v>100</v>
      </c>
      <c r="O19" s="69">
        <f t="shared" si="3"/>
        <v>100</v>
      </c>
      <c r="P19" s="70" t="e">
        <f t="shared" si="4"/>
        <v>#REF!</v>
      </c>
    </row>
    <row r="20" spans="1:16" s="1" customFormat="1" ht="21">
      <c r="A20" s="73">
        <v>11</v>
      </c>
      <c r="B20" s="74" t="s">
        <v>36</v>
      </c>
      <c r="C20" s="33">
        <v>18</v>
      </c>
      <c r="D20" s="33">
        <v>18</v>
      </c>
      <c r="E20" s="30" t="e">
        <f>#REF!</f>
        <v>#REF!</v>
      </c>
      <c r="F20" s="30">
        <v>0</v>
      </c>
      <c r="G20" s="30" t="e">
        <f>#REF!</f>
        <v>#REF!</v>
      </c>
      <c r="H20" s="30" t="e">
        <f>#REF!</f>
        <v>#REF!</v>
      </c>
      <c r="I20" s="30" t="e">
        <f>#REF!</f>
        <v>#REF!</v>
      </c>
      <c r="J20" s="30">
        <v>0</v>
      </c>
      <c r="K20" s="33">
        <v>18</v>
      </c>
      <c r="L20" s="33">
        <v>18</v>
      </c>
      <c r="M20" s="69">
        <f t="shared" si="2"/>
        <v>100</v>
      </c>
      <c r="N20" s="69">
        <f t="shared" si="0"/>
        <v>100</v>
      </c>
      <c r="O20" s="69" t="e">
        <f t="shared" si="3"/>
        <v>#REF!</v>
      </c>
      <c r="P20" s="70">
        <f t="shared" si="4"/>
        <v>100</v>
      </c>
    </row>
    <row r="21" spans="1:16" s="1" customFormat="1" ht="16.8">
      <c r="A21" s="34"/>
      <c r="B21" s="35" t="s">
        <v>37</v>
      </c>
      <c r="C21" s="36">
        <f t="shared" ref="C21" si="5">SUM(C10:C20)</f>
        <v>132</v>
      </c>
      <c r="D21" s="36">
        <f t="shared" ref="D21" si="6">SUM(D10:D20)</f>
        <v>132</v>
      </c>
      <c r="E21" s="36" t="e">
        <f t="shared" ref="E21" si="7">SUM(E10:E20)</f>
        <v>#REF!</v>
      </c>
      <c r="F21" s="36" t="e">
        <f t="shared" ref="F21" si="8">SUM(F10:F20)</f>
        <v>#REF!</v>
      </c>
      <c r="G21" s="36" t="e">
        <f t="shared" ref="G21" si="9">SUM(G10:G20)</f>
        <v>#REF!</v>
      </c>
      <c r="H21" s="36" t="e">
        <f t="shared" ref="H21" si="10">SUM(H10:H20)</f>
        <v>#REF!</v>
      </c>
      <c r="I21" s="36" t="e">
        <f t="shared" ref="I21" si="11">SUM(I10:I20)</f>
        <v>#REF!</v>
      </c>
      <c r="J21" s="36" t="e">
        <f t="shared" ref="J21" si="12">SUM(J10:J20)</f>
        <v>#REF!</v>
      </c>
      <c r="K21" s="36">
        <f t="shared" ref="K21" si="13">SUM(K10:K20)</f>
        <v>128</v>
      </c>
      <c r="L21" s="36">
        <f t="shared" ref="L21" si="14">SUM(L10:L20)</f>
        <v>128</v>
      </c>
      <c r="M21" s="36">
        <f t="shared" ref="M21" si="15">SUM(M10:M20)</f>
        <v>900</v>
      </c>
      <c r="N21" s="36">
        <f t="shared" ref="N21" si="16">SUM(N10:N20)</f>
        <v>900</v>
      </c>
      <c r="O21" s="36" t="e">
        <f t="shared" ref="O21" si="17">SUM(O10:O20)</f>
        <v>#REF!</v>
      </c>
      <c r="P21" s="36" t="e">
        <f t="shared" ref="P21" si="18">SUM(P10:P20)</f>
        <v>#REF!</v>
      </c>
    </row>
    <row r="22" spans="1:16" ht="17.399999999999999" thickBot="1">
      <c r="A22" s="9"/>
      <c r="B22" s="10"/>
      <c r="C22" s="11" t="s">
        <v>25</v>
      </c>
      <c r="D22" s="11" t="s">
        <v>38</v>
      </c>
      <c r="E22" s="12"/>
      <c r="F22" s="13"/>
      <c r="G22" s="13"/>
      <c r="H22" s="13"/>
      <c r="I22" s="13"/>
      <c r="J22" s="13"/>
      <c r="K22" s="14"/>
      <c r="L22" s="14"/>
      <c r="M22" s="15"/>
      <c r="N22" s="15"/>
      <c r="O22" s="15"/>
      <c r="P22" s="27"/>
    </row>
    <row r="23" spans="1:16" ht="17.399999999999999" thickBot="1">
      <c r="A23" s="16"/>
      <c r="B23" s="17" t="s">
        <v>39</v>
      </c>
      <c r="C23" s="18" t="e">
        <f>ROUND((C21+E21)*100/K21,1)</f>
        <v>#REF!</v>
      </c>
      <c r="D23" s="19" t="e">
        <f>ROUND((D21+F21)*100/L21,1)</f>
        <v>#REF!</v>
      </c>
      <c r="E23" s="16" t="s">
        <v>40</v>
      </c>
      <c r="F23" s="20"/>
      <c r="G23" s="21"/>
      <c r="H23" s="16"/>
      <c r="I23" s="16"/>
      <c r="J23" s="16"/>
      <c r="K23" s="21"/>
      <c r="L23" s="21"/>
      <c r="M23" s="22"/>
      <c r="N23" s="22"/>
      <c r="O23" s="22"/>
      <c r="P23" s="28"/>
    </row>
    <row r="24" spans="1:16" ht="16.8">
      <c r="A24" s="75"/>
      <c r="B24" s="23" t="s">
        <v>41</v>
      </c>
      <c r="C24" s="24">
        <f>ROUND(C21*100/K21,1)</f>
        <v>103.1</v>
      </c>
      <c r="D24" s="25">
        <f>ROUND(D21*100/L21,1)</f>
        <v>103.1</v>
      </c>
      <c r="E24" s="24" t="s">
        <v>40</v>
      </c>
      <c r="F24" s="26"/>
      <c r="G24" s="76"/>
      <c r="H24" s="75"/>
      <c r="I24" s="75"/>
      <c r="J24" s="75"/>
      <c r="K24" s="76"/>
      <c r="L24" s="76"/>
      <c r="M24" s="77"/>
      <c r="N24" s="77"/>
      <c r="O24" s="77"/>
      <c r="P24" s="78"/>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70" workbookViewId="0">
      <selection sqref="A1:XFD1048576"/>
    </sheetView>
  </sheetViews>
  <sheetFormatPr defaultColWidth="9.09765625" defaultRowHeight="13.8"/>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B07E-1AB5-40E2-B655-949BC2E2BB54}">
  <dimension ref="A1:M54"/>
  <sheetViews>
    <sheetView tabSelected="1" zoomScale="40" workbookViewId="0">
      <selection activeCell="K7" sqref="K7"/>
    </sheetView>
  </sheetViews>
  <sheetFormatPr defaultColWidth="9.09765625" defaultRowHeight="13.8"/>
  <cols>
    <col min="1" max="1" width="15.69921875" bestFit="1" customWidth="1"/>
    <col min="2" max="2" width="43.296875" bestFit="1" customWidth="1"/>
    <col min="3" max="3" width="52.3984375" bestFit="1" customWidth="1"/>
    <col min="4" max="4" width="47.59765625" bestFit="1" customWidth="1"/>
    <col min="5" max="5" width="56.3984375" bestFit="1" customWidth="1"/>
    <col min="6" max="6" width="26.69921875" customWidth="1"/>
    <col min="7" max="7" width="12.09765625" bestFit="1" customWidth="1"/>
    <col min="9" max="9" width="7.69921875" bestFit="1" customWidth="1"/>
    <col min="10" max="10" width="12.09765625" bestFit="1" customWidth="1"/>
    <col min="11" max="11" width="14.296875" customWidth="1"/>
    <col min="12" max="12" width="11.296875" bestFit="1" customWidth="1"/>
  </cols>
  <sheetData>
    <row r="1" spans="1:6" ht="15.75" customHeight="1">
      <c r="A1" s="37" t="s">
        <v>42</v>
      </c>
      <c r="B1" s="120" t="s">
        <v>71</v>
      </c>
      <c r="C1" s="120"/>
      <c r="D1" s="120"/>
      <c r="E1" s="120"/>
      <c r="F1" s="120"/>
    </row>
    <row r="2" spans="1:6" ht="15.75" customHeight="1">
      <c r="A2" s="37" t="s">
        <v>43</v>
      </c>
      <c r="B2" s="121" t="s">
        <v>72</v>
      </c>
      <c r="C2" s="121"/>
      <c r="D2" s="121"/>
      <c r="E2" s="121"/>
      <c r="F2" s="121"/>
    </row>
    <row r="3" spans="1:6" ht="16.8">
      <c r="A3" s="38"/>
      <c r="B3" s="39" t="s">
        <v>17</v>
      </c>
      <c r="C3" s="39" t="s">
        <v>18</v>
      </c>
      <c r="D3" s="39" t="s">
        <v>44</v>
      </c>
      <c r="E3" s="40" t="s">
        <v>20</v>
      </c>
      <c r="F3" s="39" t="s">
        <v>57</v>
      </c>
    </row>
    <row r="4" spans="1:6" ht="16.8">
      <c r="A4" s="41" t="s">
        <v>45</v>
      </c>
      <c r="B4" s="38">
        <v>12</v>
      </c>
      <c r="C4" s="38">
        <v>0</v>
      </c>
      <c r="D4" s="38">
        <v>0</v>
      </c>
      <c r="E4" s="38">
        <v>0</v>
      </c>
      <c r="F4" s="38">
        <v>12</v>
      </c>
    </row>
    <row r="5" spans="1:6" ht="16.8">
      <c r="A5" s="41" t="s">
        <v>46</v>
      </c>
      <c r="B5" s="38">
        <v>5</v>
      </c>
      <c r="C5" s="38">
        <v>0</v>
      </c>
      <c r="D5" s="38">
        <v>0</v>
      </c>
      <c r="E5" s="42">
        <v>0</v>
      </c>
      <c r="F5" s="38">
        <v>5</v>
      </c>
    </row>
    <row r="6" spans="1:6" ht="340.8" customHeight="1"/>
    <row r="7" spans="1:6" ht="354.6"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122" t="s">
        <v>47</v>
      </c>
      <c r="B31" s="122" t="s">
        <v>6</v>
      </c>
      <c r="C31" s="122" t="s">
        <v>56</v>
      </c>
      <c r="D31" s="122" t="s">
        <v>48</v>
      </c>
      <c r="E31" s="122" t="s">
        <v>49</v>
      </c>
      <c r="F31" s="113" t="s">
        <v>50</v>
      </c>
      <c r="G31" s="113"/>
      <c r="H31" s="113"/>
      <c r="I31" s="113"/>
      <c r="J31" s="113"/>
      <c r="K31" s="113"/>
      <c r="L31" s="113" t="s">
        <v>51</v>
      </c>
    </row>
    <row r="32" spans="1:12" ht="16.8">
      <c r="A32" s="122"/>
      <c r="B32" s="122"/>
      <c r="C32" s="122"/>
      <c r="D32" s="122"/>
      <c r="E32" s="122"/>
      <c r="F32" s="113" t="s">
        <v>25</v>
      </c>
      <c r="G32" s="113"/>
      <c r="H32" s="113"/>
      <c r="I32" s="113" t="s">
        <v>26</v>
      </c>
      <c r="J32" s="113"/>
      <c r="K32" s="113"/>
      <c r="L32" s="113"/>
    </row>
    <row r="33" spans="1:13" ht="36" customHeight="1">
      <c r="A33" s="122"/>
      <c r="B33" s="122"/>
      <c r="C33" s="122"/>
      <c r="D33" s="122"/>
      <c r="E33" s="122"/>
      <c r="F33" s="79" t="s">
        <v>52</v>
      </c>
      <c r="G33" s="43" t="s">
        <v>53</v>
      </c>
      <c r="H33" s="79" t="s">
        <v>54</v>
      </c>
      <c r="I33" s="79" t="s">
        <v>52</v>
      </c>
      <c r="J33" s="79" t="s">
        <v>53</v>
      </c>
      <c r="K33" s="79" t="s">
        <v>54</v>
      </c>
      <c r="L33" s="113"/>
    </row>
    <row r="34" spans="1:13" ht="16.8">
      <c r="A34" s="114" t="s">
        <v>73</v>
      </c>
      <c r="B34" s="115"/>
      <c r="C34" s="115"/>
      <c r="D34" s="115"/>
      <c r="E34" s="115"/>
      <c r="F34" s="115"/>
      <c r="G34" s="115"/>
      <c r="H34" s="115"/>
      <c r="I34" s="115"/>
      <c r="J34" s="115"/>
      <c r="K34" s="115"/>
      <c r="L34" s="116"/>
    </row>
    <row r="35" spans="1:13" ht="34.950000000000003" customHeight="1">
      <c r="A35" s="48" t="s">
        <v>74</v>
      </c>
      <c r="B35" s="48" t="s">
        <v>75</v>
      </c>
      <c r="C35" s="46"/>
      <c r="D35" s="49" t="s">
        <v>58</v>
      </c>
      <c r="E35" s="49" t="s">
        <v>76</v>
      </c>
      <c r="F35" s="46" t="s">
        <v>55</v>
      </c>
      <c r="G35" s="47">
        <v>46119</v>
      </c>
      <c r="H35" s="46" t="s">
        <v>77</v>
      </c>
      <c r="I35" s="46" t="s">
        <v>55</v>
      </c>
      <c r="J35" s="47"/>
      <c r="K35" s="46"/>
      <c r="L35" s="46"/>
    </row>
    <row r="36" spans="1:13" ht="34.950000000000003" customHeight="1">
      <c r="A36" s="48" t="s">
        <v>78</v>
      </c>
      <c r="B36" s="48" t="s">
        <v>79</v>
      </c>
      <c r="C36" s="46"/>
      <c r="D36" s="49" t="s">
        <v>80</v>
      </c>
      <c r="E36" s="49" t="s">
        <v>80</v>
      </c>
      <c r="F36" s="46" t="s">
        <v>55</v>
      </c>
      <c r="G36" s="47">
        <v>46119</v>
      </c>
      <c r="H36" s="46" t="s">
        <v>77</v>
      </c>
      <c r="I36" s="46" t="s">
        <v>55</v>
      </c>
      <c r="J36" s="47"/>
      <c r="K36" s="46"/>
      <c r="L36" s="46"/>
    </row>
    <row r="37" spans="1:13" ht="34.950000000000003" customHeight="1">
      <c r="A37" s="48" t="s">
        <v>81</v>
      </c>
      <c r="B37" s="48" t="s">
        <v>60</v>
      </c>
      <c r="C37" s="46"/>
      <c r="D37" s="49" t="s">
        <v>59</v>
      </c>
      <c r="E37" s="49" t="s">
        <v>59</v>
      </c>
      <c r="F37" s="46" t="s">
        <v>55</v>
      </c>
      <c r="G37" s="47">
        <v>46119</v>
      </c>
      <c r="H37" s="46" t="s">
        <v>77</v>
      </c>
      <c r="I37" s="46" t="s">
        <v>55</v>
      </c>
      <c r="J37" s="47"/>
      <c r="K37" s="46"/>
      <c r="L37" s="46"/>
    </row>
    <row r="38" spans="1:13" ht="34.950000000000003" customHeight="1">
      <c r="A38" s="48" t="s">
        <v>82</v>
      </c>
      <c r="B38" s="48" t="s">
        <v>83</v>
      </c>
      <c r="C38" s="46"/>
      <c r="D38" s="49" t="s">
        <v>59</v>
      </c>
      <c r="E38" s="49" t="s">
        <v>59</v>
      </c>
      <c r="F38" s="46" t="s">
        <v>55</v>
      </c>
      <c r="G38" s="47">
        <v>46119</v>
      </c>
      <c r="H38" s="46" t="s">
        <v>77</v>
      </c>
      <c r="I38" s="46" t="s">
        <v>55</v>
      </c>
      <c r="J38" s="47"/>
      <c r="K38" s="46"/>
      <c r="L38" s="46"/>
    </row>
    <row r="39" spans="1:13" ht="34.950000000000003" customHeight="1">
      <c r="A39" s="48" t="s">
        <v>84</v>
      </c>
      <c r="B39" s="46" t="s">
        <v>85</v>
      </c>
      <c r="C39" s="46"/>
      <c r="D39" s="49" t="s">
        <v>86</v>
      </c>
      <c r="E39" s="49" t="s">
        <v>86</v>
      </c>
      <c r="F39" s="46" t="s">
        <v>55</v>
      </c>
      <c r="G39" s="47">
        <v>46119</v>
      </c>
      <c r="H39" s="46" t="s">
        <v>77</v>
      </c>
      <c r="I39" s="46" t="s">
        <v>55</v>
      </c>
      <c r="J39" s="47"/>
      <c r="K39" s="46"/>
      <c r="L39" s="46"/>
    </row>
    <row r="40" spans="1:13" ht="34.950000000000003" customHeight="1">
      <c r="A40" s="48" t="s">
        <v>87</v>
      </c>
      <c r="B40" s="46" t="s">
        <v>88</v>
      </c>
      <c r="C40" s="46"/>
      <c r="D40" s="49" t="s">
        <v>89</v>
      </c>
      <c r="E40" s="49" t="s">
        <v>89</v>
      </c>
      <c r="F40" s="46" t="s">
        <v>55</v>
      </c>
      <c r="G40" s="47">
        <v>46119</v>
      </c>
      <c r="H40" s="46" t="s">
        <v>77</v>
      </c>
      <c r="I40" s="46" t="s">
        <v>55</v>
      </c>
      <c r="J40" s="47"/>
      <c r="K40" s="46"/>
      <c r="L40" s="46"/>
    </row>
    <row r="41" spans="1:13" ht="34.950000000000003" customHeight="1">
      <c r="A41" s="48" t="s">
        <v>90</v>
      </c>
      <c r="B41" s="46" t="s">
        <v>91</v>
      </c>
      <c r="C41" s="46"/>
      <c r="D41" s="49" t="s">
        <v>92</v>
      </c>
      <c r="E41" s="49" t="s">
        <v>92</v>
      </c>
      <c r="F41" s="46" t="s">
        <v>55</v>
      </c>
      <c r="G41" s="47">
        <v>46119</v>
      </c>
      <c r="H41" s="46" t="s">
        <v>77</v>
      </c>
      <c r="I41" s="46" t="s">
        <v>55</v>
      </c>
      <c r="J41" s="47"/>
      <c r="K41" s="46"/>
      <c r="L41" s="46"/>
    </row>
    <row r="42" spans="1:13" ht="34.950000000000003" customHeight="1">
      <c r="A42" s="48" t="s">
        <v>93</v>
      </c>
      <c r="B42" s="46" t="s">
        <v>94</v>
      </c>
      <c r="C42" s="46"/>
      <c r="D42" s="49" t="s">
        <v>95</v>
      </c>
      <c r="E42" s="49" t="s">
        <v>95</v>
      </c>
      <c r="F42" s="46" t="s">
        <v>55</v>
      </c>
      <c r="G42" s="47">
        <v>46119</v>
      </c>
      <c r="H42" s="46" t="s">
        <v>77</v>
      </c>
      <c r="I42" s="46" t="s">
        <v>55</v>
      </c>
      <c r="J42" s="47"/>
      <c r="K42" s="46"/>
      <c r="L42" s="46"/>
    </row>
    <row r="43" spans="1:13" ht="34.950000000000003" customHeight="1">
      <c r="A43" s="48" t="s">
        <v>96</v>
      </c>
      <c r="B43" s="46" t="s">
        <v>97</v>
      </c>
      <c r="C43" s="46"/>
      <c r="D43" s="49" t="s">
        <v>98</v>
      </c>
      <c r="E43" s="49" t="s">
        <v>98</v>
      </c>
      <c r="F43" s="46" t="s">
        <v>55</v>
      </c>
      <c r="G43" s="47">
        <v>46119</v>
      </c>
      <c r="H43" s="46" t="s">
        <v>77</v>
      </c>
      <c r="I43" s="46" t="s">
        <v>55</v>
      </c>
      <c r="J43" s="47"/>
      <c r="K43" s="46"/>
      <c r="L43" s="46"/>
    </row>
    <row r="44" spans="1:13" ht="34.950000000000003" customHeight="1">
      <c r="A44" s="48" t="s">
        <v>99</v>
      </c>
      <c r="B44" s="46" t="s">
        <v>100</v>
      </c>
      <c r="C44" s="46"/>
      <c r="D44" s="46" t="s">
        <v>101</v>
      </c>
      <c r="E44" s="46" t="s">
        <v>101</v>
      </c>
      <c r="F44" s="46" t="s">
        <v>55</v>
      </c>
      <c r="G44" s="47">
        <v>46119</v>
      </c>
      <c r="H44" s="46" t="s">
        <v>77</v>
      </c>
      <c r="I44" s="46" t="s">
        <v>55</v>
      </c>
      <c r="J44" s="46"/>
      <c r="K44" s="46"/>
      <c r="L44" s="46"/>
      <c r="M44" s="29"/>
    </row>
    <row r="45" spans="1:13" ht="34.950000000000003" customHeight="1">
      <c r="A45" s="48" t="s">
        <v>102</v>
      </c>
      <c r="B45" s="45" t="s">
        <v>103</v>
      </c>
      <c r="C45" s="46"/>
      <c r="D45" s="49" t="s">
        <v>59</v>
      </c>
      <c r="E45" s="49" t="s">
        <v>59</v>
      </c>
      <c r="F45" s="46" t="s">
        <v>55</v>
      </c>
      <c r="G45" s="47">
        <v>46119</v>
      </c>
      <c r="H45" s="46" t="s">
        <v>77</v>
      </c>
      <c r="I45" s="46" t="s">
        <v>55</v>
      </c>
      <c r="J45" s="46"/>
      <c r="K45" s="46"/>
      <c r="L45" s="46"/>
    </row>
    <row r="46" spans="1:13" ht="34.950000000000003" customHeight="1">
      <c r="A46" s="48" t="s">
        <v>104</v>
      </c>
      <c r="B46" s="46" t="s">
        <v>105</v>
      </c>
      <c r="C46" s="46"/>
      <c r="D46" s="49" t="s">
        <v>59</v>
      </c>
      <c r="E46" s="49" t="s">
        <v>59</v>
      </c>
      <c r="F46" s="46" t="s">
        <v>55</v>
      </c>
      <c r="G46" s="47">
        <v>46119</v>
      </c>
      <c r="H46" s="46" t="s">
        <v>77</v>
      </c>
      <c r="I46" s="46" t="s">
        <v>55</v>
      </c>
      <c r="J46" s="46"/>
      <c r="K46" s="46"/>
      <c r="L46" s="46"/>
    </row>
    <row r="47" spans="1:13" ht="16.8">
      <c r="A47" s="117" t="s">
        <v>106</v>
      </c>
      <c r="B47" s="118"/>
      <c r="C47" s="118"/>
      <c r="D47" s="118"/>
      <c r="E47" s="118"/>
      <c r="F47" s="118"/>
      <c r="G47" s="118"/>
      <c r="H47" s="118"/>
      <c r="I47" s="118"/>
      <c r="J47" s="118"/>
      <c r="K47" s="118"/>
      <c r="L47" s="119"/>
    </row>
    <row r="48" spans="1:13" s="44" customFormat="1" ht="50.4">
      <c r="A48" s="49" t="s">
        <v>107</v>
      </c>
      <c r="B48" s="49" t="s">
        <v>62</v>
      </c>
      <c r="C48" s="49" t="s">
        <v>108</v>
      </c>
      <c r="D48" s="46" t="s">
        <v>63</v>
      </c>
      <c r="E48" s="46" t="s">
        <v>64</v>
      </c>
      <c r="F48" s="46" t="s">
        <v>55</v>
      </c>
      <c r="G48" s="47">
        <v>46119</v>
      </c>
      <c r="H48" s="46" t="s">
        <v>77</v>
      </c>
      <c r="I48" s="46" t="s">
        <v>55</v>
      </c>
      <c r="J48" s="47">
        <v>46119</v>
      </c>
      <c r="K48" s="46" t="s">
        <v>77</v>
      </c>
      <c r="L48" s="46"/>
    </row>
    <row r="49" spans="1:12" s="44" customFormat="1" ht="100.8">
      <c r="A49" s="49" t="s">
        <v>109</v>
      </c>
      <c r="B49" s="49" t="s">
        <v>110</v>
      </c>
      <c r="C49" s="49" t="s">
        <v>111</v>
      </c>
      <c r="D49" s="46" t="s">
        <v>112</v>
      </c>
      <c r="E49" s="46" t="s">
        <v>113</v>
      </c>
      <c r="F49" s="46" t="s">
        <v>55</v>
      </c>
      <c r="G49" s="47">
        <v>46119</v>
      </c>
      <c r="H49" s="46" t="s">
        <v>77</v>
      </c>
      <c r="I49" s="46" t="s">
        <v>55</v>
      </c>
      <c r="J49" s="47">
        <v>46119</v>
      </c>
      <c r="K49" s="46" t="s">
        <v>77</v>
      </c>
      <c r="L49" s="46"/>
    </row>
    <row r="50" spans="1:12" s="44" customFormat="1" ht="117.6">
      <c r="A50" s="49" t="s">
        <v>114</v>
      </c>
      <c r="B50" s="46" t="s">
        <v>115</v>
      </c>
      <c r="C50" s="49" t="s">
        <v>116</v>
      </c>
      <c r="D50" s="46" t="s">
        <v>65</v>
      </c>
      <c r="E50" s="46" t="s">
        <v>117</v>
      </c>
      <c r="F50" s="46" t="s">
        <v>55</v>
      </c>
      <c r="G50" s="47">
        <v>46119</v>
      </c>
      <c r="H50" s="46" t="s">
        <v>77</v>
      </c>
      <c r="I50" s="46" t="s">
        <v>55</v>
      </c>
      <c r="J50" s="47">
        <v>46119</v>
      </c>
      <c r="K50" s="46" t="s">
        <v>77</v>
      </c>
      <c r="L50" s="46"/>
    </row>
    <row r="51" spans="1:12" s="44" customFormat="1" ht="100.8">
      <c r="A51" s="49" t="s">
        <v>118</v>
      </c>
      <c r="B51" s="46" t="s">
        <v>119</v>
      </c>
      <c r="C51" s="49" t="s">
        <v>120</v>
      </c>
      <c r="D51" s="46" t="s">
        <v>121</v>
      </c>
      <c r="E51" s="46" t="s">
        <v>122</v>
      </c>
      <c r="F51" s="46" t="s">
        <v>55</v>
      </c>
      <c r="G51" s="47">
        <v>46119</v>
      </c>
      <c r="H51" s="46" t="s">
        <v>77</v>
      </c>
      <c r="I51" s="46" t="s">
        <v>55</v>
      </c>
      <c r="J51" s="47">
        <v>46119</v>
      </c>
      <c r="K51" s="46" t="s">
        <v>77</v>
      </c>
      <c r="L51" s="46"/>
    </row>
    <row r="52" spans="1:12" s="44" customFormat="1" ht="84">
      <c r="A52" s="49" t="s">
        <v>123</v>
      </c>
      <c r="B52" s="46" t="s">
        <v>124</v>
      </c>
      <c r="C52" s="46" t="s">
        <v>125</v>
      </c>
      <c r="D52" s="46" t="s">
        <v>66</v>
      </c>
      <c r="E52" s="46" t="s">
        <v>126</v>
      </c>
      <c r="F52" s="46" t="s">
        <v>55</v>
      </c>
      <c r="G52" s="47">
        <v>46119</v>
      </c>
      <c r="H52" s="46" t="s">
        <v>77</v>
      </c>
      <c r="I52" s="46" t="s">
        <v>55</v>
      </c>
      <c r="J52" s="47">
        <v>46119</v>
      </c>
      <c r="K52" s="46" t="s">
        <v>77</v>
      </c>
      <c r="L52" s="46"/>
    </row>
    <row r="53" spans="1:12" ht="34.950000000000003" customHeight="1">
      <c r="H53" s="46"/>
    </row>
    <row r="54" spans="1:12" ht="34.950000000000003" customHeight="1">
      <c r="H54" s="46"/>
    </row>
  </sheetData>
  <mergeCells count="13">
    <mergeCell ref="B1:F1"/>
    <mergeCell ref="B2:F2"/>
    <mergeCell ref="A31:A33"/>
    <mergeCell ref="B31:B33"/>
    <mergeCell ref="C31:C33"/>
    <mergeCell ref="D31:D33"/>
    <mergeCell ref="E31:E33"/>
    <mergeCell ref="F31:K31"/>
    <mergeCell ref="L31:L33"/>
    <mergeCell ref="F32:H32"/>
    <mergeCell ref="I32:K32"/>
    <mergeCell ref="A34:L34"/>
    <mergeCell ref="A47:L47"/>
  </mergeCells>
  <dataValidations count="1">
    <dataValidation type="list" operator="equal" allowBlank="1" showErrorMessage="1" promptTitle="dfdf" sqref="F48:F52 I48:I52 F35:F46 I35:I46" xr:uid="{C08ACE88-06DB-4FF1-9245-1A8ED01914ED}">
      <formula1>"Passed,Untested,Failed,Blocked"</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D9E4-1D16-4DD1-B9DE-FEE26E1E437F}">
  <dimension ref="A1:M51"/>
  <sheetViews>
    <sheetView zoomScale="40" zoomScaleNormal="40" workbookViewId="0">
      <selection activeCell="A6" sqref="A6:XFD6"/>
    </sheetView>
  </sheetViews>
  <sheetFormatPr defaultColWidth="9.09765625" defaultRowHeight="13.8"/>
  <cols>
    <col min="1" max="1" width="15.69921875" bestFit="1" customWidth="1"/>
    <col min="2" max="2" width="43.296875" bestFit="1" customWidth="1"/>
    <col min="3" max="3" width="52.3984375" bestFit="1" customWidth="1"/>
    <col min="4" max="4" width="47.59765625" bestFit="1" customWidth="1"/>
    <col min="5" max="5" width="56.3984375" bestFit="1" customWidth="1"/>
    <col min="6" max="6" width="26.69921875" customWidth="1"/>
    <col min="7" max="7" width="13.09765625" bestFit="1" customWidth="1"/>
    <col min="9" max="9" width="7.69921875" bestFit="1" customWidth="1"/>
    <col min="10" max="10" width="12.09765625" bestFit="1" customWidth="1"/>
    <col min="11" max="11" width="14.296875" customWidth="1"/>
    <col min="12" max="12" width="11.296875" bestFit="1" customWidth="1"/>
  </cols>
  <sheetData>
    <row r="1" spans="1:6" ht="15.75" customHeight="1">
      <c r="A1" s="37" t="s">
        <v>42</v>
      </c>
      <c r="B1" s="120" t="s">
        <v>71</v>
      </c>
      <c r="C1" s="120"/>
      <c r="D1" s="120"/>
      <c r="E1" s="120"/>
      <c r="F1" s="120"/>
    </row>
    <row r="2" spans="1:6" ht="15.75" customHeight="1">
      <c r="A2" s="37" t="s">
        <v>43</v>
      </c>
      <c r="B2" s="121" t="s">
        <v>127</v>
      </c>
      <c r="C2" s="121"/>
      <c r="D2" s="121"/>
      <c r="E2" s="121"/>
      <c r="F2" s="121"/>
    </row>
    <row r="3" spans="1:6" ht="16.8">
      <c r="A3" s="38"/>
      <c r="B3" s="39" t="s">
        <v>17</v>
      </c>
      <c r="C3" s="39" t="s">
        <v>18</v>
      </c>
      <c r="D3" s="39" t="s">
        <v>44</v>
      </c>
      <c r="E3" s="40" t="s">
        <v>20</v>
      </c>
      <c r="F3" s="39" t="s">
        <v>57</v>
      </c>
    </row>
    <row r="4" spans="1:6" ht="16.8">
      <c r="A4" s="41" t="s">
        <v>45</v>
      </c>
      <c r="B4" s="38">
        <v>12</v>
      </c>
      <c r="C4" s="38">
        <v>0</v>
      </c>
      <c r="D4" s="38">
        <v>0</v>
      </c>
      <c r="E4" s="38">
        <v>0</v>
      </c>
      <c r="F4" s="38">
        <v>12</v>
      </c>
    </row>
    <row r="5" spans="1:6" ht="16.8">
      <c r="A5" s="41" t="s">
        <v>46</v>
      </c>
      <c r="B5" s="38">
        <v>5</v>
      </c>
      <c r="C5" s="38">
        <v>0</v>
      </c>
      <c r="D5" s="38">
        <v>0</v>
      </c>
      <c r="E5" s="42">
        <v>0</v>
      </c>
      <c r="F5" s="38">
        <v>5</v>
      </c>
    </row>
    <row r="6" spans="1:6" ht="384.6" customHeight="1"/>
    <row r="7" spans="1:6" ht="409.2"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122" t="s">
        <v>47</v>
      </c>
      <c r="B31" s="122" t="s">
        <v>6</v>
      </c>
      <c r="C31" s="122" t="s">
        <v>56</v>
      </c>
      <c r="D31" s="122" t="s">
        <v>48</v>
      </c>
      <c r="E31" s="122" t="s">
        <v>49</v>
      </c>
      <c r="F31" s="113" t="s">
        <v>50</v>
      </c>
      <c r="G31" s="113"/>
      <c r="H31" s="113"/>
      <c r="I31" s="113"/>
      <c r="J31" s="113"/>
      <c r="K31" s="113"/>
      <c r="L31" s="113" t="s">
        <v>51</v>
      </c>
    </row>
    <row r="32" spans="1:12" ht="16.8">
      <c r="A32" s="122"/>
      <c r="B32" s="122"/>
      <c r="C32" s="122"/>
      <c r="D32" s="122"/>
      <c r="E32" s="122"/>
      <c r="F32" s="113" t="s">
        <v>25</v>
      </c>
      <c r="G32" s="113"/>
      <c r="H32" s="113"/>
      <c r="I32" s="113" t="s">
        <v>26</v>
      </c>
      <c r="J32" s="113"/>
      <c r="K32" s="113"/>
      <c r="L32" s="113"/>
    </row>
    <row r="33" spans="1:13" ht="36" customHeight="1">
      <c r="A33" s="122"/>
      <c r="B33" s="122"/>
      <c r="C33" s="122"/>
      <c r="D33" s="122"/>
      <c r="E33" s="122"/>
      <c r="F33" s="79" t="s">
        <v>52</v>
      </c>
      <c r="G33" s="43" t="s">
        <v>53</v>
      </c>
      <c r="H33" s="79" t="s">
        <v>54</v>
      </c>
      <c r="I33" s="79" t="s">
        <v>52</v>
      </c>
      <c r="J33" s="79" t="s">
        <v>53</v>
      </c>
      <c r="K33" s="79" t="s">
        <v>54</v>
      </c>
      <c r="L33" s="113"/>
    </row>
    <row r="34" spans="1:13" ht="16.8">
      <c r="A34" s="114" t="s">
        <v>128</v>
      </c>
      <c r="B34" s="115"/>
      <c r="C34" s="115"/>
      <c r="D34" s="115"/>
      <c r="E34" s="115"/>
      <c r="F34" s="115"/>
      <c r="G34" s="115"/>
      <c r="H34" s="115"/>
      <c r="I34" s="115"/>
      <c r="J34" s="115"/>
      <c r="K34" s="115"/>
      <c r="L34" s="116"/>
    </row>
    <row r="35" spans="1:13" ht="34.950000000000003" customHeight="1">
      <c r="A35" s="48" t="s">
        <v>129</v>
      </c>
      <c r="B35" s="48" t="s">
        <v>130</v>
      </c>
      <c r="C35" s="46"/>
      <c r="D35" s="49" t="s">
        <v>58</v>
      </c>
      <c r="E35" s="49" t="s">
        <v>131</v>
      </c>
      <c r="F35" s="46" t="s">
        <v>55</v>
      </c>
      <c r="G35" s="47">
        <v>46120</v>
      </c>
      <c r="H35" s="46" t="s">
        <v>77</v>
      </c>
      <c r="I35" s="46" t="s">
        <v>55</v>
      </c>
      <c r="J35" s="47"/>
      <c r="K35" s="46"/>
      <c r="L35" s="46"/>
    </row>
    <row r="36" spans="1:13" ht="34.950000000000003" customHeight="1">
      <c r="A36" s="48" t="s">
        <v>132</v>
      </c>
      <c r="B36" s="48" t="s">
        <v>133</v>
      </c>
      <c r="C36" s="46"/>
      <c r="D36" s="49" t="s">
        <v>80</v>
      </c>
      <c r="E36" s="49" t="s">
        <v>80</v>
      </c>
      <c r="F36" s="46" t="s">
        <v>55</v>
      </c>
      <c r="G36" s="47">
        <v>46120</v>
      </c>
      <c r="H36" s="46" t="s">
        <v>77</v>
      </c>
      <c r="I36" s="46" t="s">
        <v>55</v>
      </c>
      <c r="J36" s="47"/>
      <c r="K36" s="46"/>
      <c r="L36" s="46"/>
    </row>
    <row r="37" spans="1:13" ht="34.950000000000003" customHeight="1">
      <c r="A37" s="48" t="s">
        <v>134</v>
      </c>
      <c r="B37" s="48" t="s">
        <v>60</v>
      </c>
      <c r="C37" s="46"/>
      <c r="D37" s="49" t="s">
        <v>59</v>
      </c>
      <c r="E37" s="49" t="s">
        <v>59</v>
      </c>
      <c r="F37" s="46" t="s">
        <v>55</v>
      </c>
      <c r="G37" s="47">
        <v>46120</v>
      </c>
      <c r="H37" s="46" t="s">
        <v>77</v>
      </c>
      <c r="I37" s="46" t="s">
        <v>55</v>
      </c>
      <c r="J37" s="47"/>
      <c r="K37" s="46"/>
      <c r="L37" s="46"/>
    </row>
    <row r="38" spans="1:13" ht="34.950000000000003" customHeight="1">
      <c r="A38" s="48" t="s">
        <v>135</v>
      </c>
      <c r="B38" s="48" t="s">
        <v>136</v>
      </c>
      <c r="C38" s="46"/>
      <c r="D38" s="49" t="s">
        <v>80</v>
      </c>
      <c r="E38" s="49" t="s">
        <v>80</v>
      </c>
      <c r="F38" s="46" t="s">
        <v>55</v>
      </c>
      <c r="G38" s="47">
        <v>46120</v>
      </c>
      <c r="H38" s="46" t="s">
        <v>77</v>
      </c>
      <c r="I38" s="46" t="s">
        <v>55</v>
      </c>
      <c r="J38" s="47"/>
      <c r="K38" s="46"/>
      <c r="L38" s="46"/>
    </row>
    <row r="39" spans="1:13" ht="34.950000000000003" customHeight="1">
      <c r="A39" s="48" t="s">
        <v>137</v>
      </c>
      <c r="B39" s="46" t="s">
        <v>138</v>
      </c>
      <c r="C39" s="46"/>
      <c r="D39" s="49" t="s">
        <v>59</v>
      </c>
      <c r="E39" s="49" t="s">
        <v>59</v>
      </c>
      <c r="F39" s="46" t="s">
        <v>55</v>
      </c>
      <c r="G39" s="47">
        <v>46120</v>
      </c>
      <c r="H39" s="46" t="s">
        <v>77</v>
      </c>
      <c r="I39" s="46" t="s">
        <v>55</v>
      </c>
      <c r="J39" s="47"/>
      <c r="K39" s="46"/>
      <c r="L39" s="46"/>
    </row>
    <row r="40" spans="1:13" ht="34.950000000000003" customHeight="1">
      <c r="A40" s="48" t="s">
        <v>139</v>
      </c>
      <c r="B40" s="46" t="s">
        <v>140</v>
      </c>
      <c r="C40" s="46"/>
      <c r="D40" s="49" t="s">
        <v>59</v>
      </c>
      <c r="E40" s="49" t="s">
        <v>59</v>
      </c>
      <c r="F40" s="46" t="s">
        <v>55</v>
      </c>
      <c r="G40" s="47">
        <v>46120</v>
      </c>
      <c r="H40" s="46" t="s">
        <v>77</v>
      </c>
      <c r="I40" s="46" t="s">
        <v>55</v>
      </c>
      <c r="J40" s="47"/>
      <c r="K40" s="46"/>
      <c r="L40" s="46"/>
    </row>
    <row r="41" spans="1:13" ht="34.950000000000003" customHeight="1">
      <c r="A41" s="48" t="s">
        <v>141</v>
      </c>
      <c r="B41" s="46" t="s">
        <v>142</v>
      </c>
      <c r="C41" s="46"/>
      <c r="D41" s="49" t="s">
        <v>143</v>
      </c>
      <c r="E41" s="48" t="s">
        <v>143</v>
      </c>
      <c r="F41" s="46" t="s">
        <v>55</v>
      </c>
      <c r="G41" s="47">
        <v>46120</v>
      </c>
      <c r="H41" s="46" t="s">
        <v>77</v>
      </c>
      <c r="I41" s="46" t="s">
        <v>55</v>
      </c>
      <c r="J41" s="47"/>
      <c r="K41" s="46"/>
      <c r="L41" s="46"/>
    </row>
    <row r="42" spans="1:13" ht="34.950000000000003" customHeight="1">
      <c r="A42" s="48" t="s">
        <v>144</v>
      </c>
      <c r="B42" s="46" t="s">
        <v>145</v>
      </c>
      <c r="C42" s="46"/>
      <c r="D42" s="49" t="s">
        <v>98</v>
      </c>
      <c r="E42" s="49" t="s">
        <v>98</v>
      </c>
      <c r="F42" s="46" t="s">
        <v>55</v>
      </c>
      <c r="G42" s="47">
        <v>46120</v>
      </c>
      <c r="H42" s="46" t="s">
        <v>77</v>
      </c>
      <c r="I42" s="46" t="s">
        <v>55</v>
      </c>
      <c r="J42" s="47"/>
      <c r="K42" s="46"/>
      <c r="L42" s="46"/>
    </row>
    <row r="43" spans="1:13" ht="34.950000000000003" customHeight="1">
      <c r="A43" s="48" t="s">
        <v>146</v>
      </c>
      <c r="B43" s="46" t="s">
        <v>147</v>
      </c>
      <c r="C43" s="46"/>
      <c r="D43" s="49" t="s">
        <v>59</v>
      </c>
      <c r="E43" s="49" t="s">
        <v>59</v>
      </c>
      <c r="F43" s="46" t="s">
        <v>55</v>
      </c>
      <c r="G43" s="47">
        <v>46120</v>
      </c>
      <c r="H43" s="46" t="s">
        <v>77</v>
      </c>
      <c r="I43" s="46" t="s">
        <v>55</v>
      </c>
      <c r="J43" s="46"/>
      <c r="K43" s="46"/>
      <c r="L43" s="46"/>
      <c r="M43" s="29"/>
    </row>
    <row r="44" spans="1:13" ht="16.8">
      <c r="A44" s="117" t="s">
        <v>106</v>
      </c>
      <c r="B44" s="118"/>
      <c r="C44" s="118"/>
      <c r="D44" s="118"/>
      <c r="E44" s="118"/>
      <c r="F44" s="118"/>
      <c r="G44" s="118"/>
      <c r="H44" s="118"/>
      <c r="I44" s="118"/>
      <c r="J44" s="118"/>
      <c r="K44" s="118"/>
      <c r="L44" s="119"/>
    </row>
    <row r="45" spans="1:13" s="44" customFormat="1" ht="50.4">
      <c r="A45" s="49" t="s">
        <v>107</v>
      </c>
      <c r="B45" s="49" t="s">
        <v>62</v>
      </c>
      <c r="C45" s="49" t="s">
        <v>148</v>
      </c>
      <c r="D45" s="46" t="s">
        <v>149</v>
      </c>
      <c r="E45" s="46" t="s">
        <v>149</v>
      </c>
      <c r="F45" s="46" t="s">
        <v>55</v>
      </c>
      <c r="G45" s="47">
        <v>46119</v>
      </c>
      <c r="H45" s="46" t="s">
        <v>77</v>
      </c>
      <c r="I45" s="46" t="s">
        <v>55</v>
      </c>
      <c r="J45" s="47">
        <v>46119</v>
      </c>
      <c r="K45" s="46" t="s">
        <v>77</v>
      </c>
      <c r="L45" s="46"/>
    </row>
    <row r="46" spans="1:13" s="44" customFormat="1" ht="67.2">
      <c r="A46" s="49" t="s">
        <v>109</v>
      </c>
      <c r="B46" s="49" t="s">
        <v>150</v>
      </c>
      <c r="C46" s="49" t="s">
        <v>151</v>
      </c>
      <c r="D46" s="46" t="s">
        <v>152</v>
      </c>
      <c r="E46" s="46" t="s">
        <v>152</v>
      </c>
      <c r="F46" s="46" t="s">
        <v>55</v>
      </c>
      <c r="G46" s="47">
        <v>46119</v>
      </c>
      <c r="H46" s="46" t="s">
        <v>77</v>
      </c>
      <c r="I46" s="46" t="s">
        <v>55</v>
      </c>
      <c r="J46" s="47">
        <v>46119</v>
      </c>
      <c r="K46" s="46" t="s">
        <v>77</v>
      </c>
      <c r="L46" s="46"/>
    </row>
    <row r="47" spans="1:13" s="44" customFormat="1" ht="67.2">
      <c r="A47" s="49" t="s">
        <v>114</v>
      </c>
      <c r="B47" s="46" t="s">
        <v>153</v>
      </c>
      <c r="C47" s="49" t="s">
        <v>154</v>
      </c>
      <c r="D47" s="46" t="s">
        <v>155</v>
      </c>
      <c r="E47" s="46" t="s">
        <v>155</v>
      </c>
      <c r="F47" s="46" t="s">
        <v>55</v>
      </c>
      <c r="G47" s="47">
        <v>46119</v>
      </c>
      <c r="H47" s="46" t="s">
        <v>77</v>
      </c>
      <c r="I47" s="46" t="s">
        <v>55</v>
      </c>
      <c r="J47" s="47">
        <v>46119</v>
      </c>
      <c r="K47" s="46" t="s">
        <v>77</v>
      </c>
      <c r="L47" s="46"/>
    </row>
    <row r="48" spans="1:13" s="44" customFormat="1" ht="84">
      <c r="A48" s="49" t="s">
        <v>118</v>
      </c>
      <c r="B48" s="46" t="s">
        <v>156</v>
      </c>
      <c r="C48" s="49" t="s">
        <v>157</v>
      </c>
      <c r="D48" s="46" t="s">
        <v>158</v>
      </c>
      <c r="E48" s="46" t="s">
        <v>158</v>
      </c>
      <c r="F48" s="46" t="s">
        <v>55</v>
      </c>
      <c r="G48" s="47">
        <v>46119</v>
      </c>
      <c r="H48" s="46" t="s">
        <v>77</v>
      </c>
      <c r="I48" s="46" t="s">
        <v>55</v>
      </c>
      <c r="J48" s="47">
        <v>46119</v>
      </c>
      <c r="K48" s="46" t="s">
        <v>77</v>
      </c>
      <c r="L48" s="46"/>
    </row>
    <row r="49" spans="1:12" s="44" customFormat="1" ht="84" customHeight="1">
      <c r="A49" s="49" t="s">
        <v>123</v>
      </c>
      <c r="B49" s="46" t="s">
        <v>159</v>
      </c>
      <c r="C49" s="46" t="s">
        <v>160</v>
      </c>
      <c r="D49" s="46" t="s">
        <v>161</v>
      </c>
      <c r="E49" s="46" t="s">
        <v>161</v>
      </c>
      <c r="F49" s="46" t="s">
        <v>55</v>
      </c>
      <c r="G49" s="47">
        <v>46119</v>
      </c>
      <c r="H49" s="46" t="s">
        <v>77</v>
      </c>
      <c r="I49" s="46" t="s">
        <v>55</v>
      </c>
      <c r="J49" s="47">
        <v>46119</v>
      </c>
      <c r="K49" s="46" t="s">
        <v>77</v>
      </c>
      <c r="L49" s="46"/>
    </row>
    <row r="50" spans="1:12" ht="34.950000000000003" customHeight="1">
      <c r="H50" s="46"/>
    </row>
    <row r="51" spans="1:12" ht="34.950000000000003" customHeight="1">
      <c r="H51" s="46"/>
    </row>
  </sheetData>
  <mergeCells count="13">
    <mergeCell ref="B1:F1"/>
    <mergeCell ref="B2:F2"/>
    <mergeCell ref="A31:A33"/>
    <mergeCell ref="B31:B33"/>
    <mergeCell ref="C31:C33"/>
    <mergeCell ref="D31:D33"/>
    <mergeCell ref="E31:E33"/>
    <mergeCell ref="F31:K31"/>
    <mergeCell ref="L31:L33"/>
    <mergeCell ref="F32:H32"/>
    <mergeCell ref="I32:K32"/>
    <mergeCell ref="A34:L34"/>
    <mergeCell ref="A44:L44"/>
  </mergeCells>
  <dataValidations count="1">
    <dataValidation type="list" operator="equal" allowBlank="1" showErrorMessage="1" promptTitle="dfdf" sqref="F45:F49 I45:I49 F35:F43 I35:I43" xr:uid="{D520DCA2-71FD-4316-BA61-6BDB1F0BD817}">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6651-A0E2-48C0-BEA7-EDC95B1F36CB}">
  <dimension ref="A1:L52"/>
  <sheetViews>
    <sheetView zoomScale="67" workbookViewId="0">
      <selection activeCell="G37" sqref="G37"/>
    </sheetView>
  </sheetViews>
  <sheetFormatPr defaultColWidth="9.09765625" defaultRowHeight="13.8"/>
  <cols>
    <col min="1" max="1" width="15.69921875" bestFit="1" customWidth="1"/>
    <col min="2" max="2" width="43.296875" bestFit="1" customWidth="1"/>
    <col min="3" max="3" width="52.3984375" bestFit="1" customWidth="1"/>
    <col min="4" max="4" width="47.59765625" bestFit="1" customWidth="1"/>
    <col min="5" max="5" width="56.3984375" bestFit="1" customWidth="1"/>
    <col min="6" max="6" width="26.69921875" customWidth="1"/>
    <col min="7" max="7" width="12.09765625" bestFit="1" customWidth="1"/>
    <col min="9" max="9" width="7.69921875" bestFit="1" customWidth="1"/>
    <col min="10" max="10" width="12.09765625" bestFit="1" customWidth="1"/>
    <col min="11" max="11" width="14.296875" customWidth="1"/>
    <col min="12" max="12" width="11.296875" bestFit="1" customWidth="1"/>
  </cols>
  <sheetData>
    <row r="1" spans="1:6" ht="15.75" customHeight="1">
      <c r="A1" s="37" t="s">
        <v>42</v>
      </c>
      <c r="B1" s="120" t="s">
        <v>71</v>
      </c>
      <c r="C1" s="120"/>
      <c r="D1" s="120"/>
      <c r="E1" s="120"/>
      <c r="F1" s="120"/>
    </row>
    <row r="2" spans="1:6" ht="15.75" customHeight="1">
      <c r="A2" s="37" t="s">
        <v>43</v>
      </c>
      <c r="B2" s="121" t="s">
        <v>162</v>
      </c>
      <c r="C2" s="121"/>
      <c r="D2" s="121"/>
      <c r="E2" s="121"/>
      <c r="F2" s="121"/>
    </row>
    <row r="3" spans="1:6" ht="16.8">
      <c r="A3" s="38"/>
      <c r="B3" s="39" t="s">
        <v>17</v>
      </c>
      <c r="C3" s="39" t="s">
        <v>18</v>
      </c>
      <c r="D3" s="39" t="s">
        <v>44</v>
      </c>
      <c r="E3" s="40" t="s">
        <v>20</v>
      </c>
      <c r="F3" s="39" t="s">
        <v>57</v>
      </c>
    </row>
    <row r="4" spans="1:6" ht="16.8">
      <c r="A4" s="41" t="s">
        <v>45</v>
      </c>
      <c r="B4" s="38">
        <v>17</v>
      </c>
      <c r="C4" s="38">
        <v>0</v>
      </c>
      <c r="D4" s="38">
        <v>0</v>
      </c>
      <c r="E4" s="38">
        <v>0</v>
      </c>
      <c r="F4" s="38">
        <v>17</v>
      </c>
    </row>
    <row r="5" spans="1:6" ht="16.8">
      <c r="A5" s="41" t="s">
        <v>46</v>
      </c>
      <c r="B5" s="38">
        <v>9</v>
      </c>
      <c r="C5" s="38">
        <v>0</v>
      </c>
      <c r="D5" s="38">
        <v>0</v>
      </c>
      <c r="E5" s="42">
        <v>0</v>
      </c>
      <c r="F5" s="38">
        <v>9</v>
      </c>
    </row>
    <row r="6" spans="1:6" ht="298.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t="198.6" customHeight="1"/>
    <row r="31" spans="1:12" ht="16.8">
      <c r="A31" s="122" t="s">
        <v>47</v>
      </c>
      <c r="B31" s="122" t="s">
        <v>6</v>
      </c>
      <c r="C31" s="122" t="s">
        <v>56</v>
      </c>
      <c r="D31" s="122" t="s">
        <v>48</v>
      </c>
      <c r="E31" s="122" t="s">
        <v>49</v>
      </c>
      <c r="F31" s="113" t="s">
        <v>50</v>
      </c>
      <c r="G31" s="113"/>
      <c r="H31" s="113"/>
      <c r="I31" s="113"/>
      <c r="J31" s="113"/>
      <c r="K31" s="113"/>
      <c r="L31" s="113" t="s">
        <v>51</v>
      </c>
    </row>
    <row r="32" spans="1:12" ht="16.8">
      <c r="A32" s="122"/>
      <c r="B32" s="122"/>
      <c r="C32" s="122"/>
      <c r="D32" s="122"/>
      <c r="E32" s="122"/>
      <c r="F32" s="113" t="s">
        <v>25</v>
      </c>
      <c r="G32" s="113"/>
      <c r="H32" s="113"/>
      <c r="I32" s="113" t="s">
        <v>26</v>
      </c>
      <c r="J32" s="113"/>
      <c r="K32" s="113"/>
      <c r="L32" s="113"/>
    </row>
    <row r="33" spans="1:12" ht="36" customHeight="1">
      <c r="A33" s="122"/>
      <c r="B33" s="122"/>
      <c r="C33" s="122"/>
      <c r="D33" s="122"/>
      <c r="E33" s="122"/>
      <c r="F33" s="79" t="s">
        <v>52</v>
      </c>
      <c r="G33" s="43" t="s">
        <v>53</v>
      </c>
      <c r="H33" s="79" t="s">
        <v>54</v>
      </c>
      <c r="I33" s="79" t="s">
        <v>52</v>
      </c>
      <c r="J33" s="79" t="s">
        <v>53</v>
      </c>
      <c r="K33" s="79" t="s">
        <v>54</v>
      </c>
      <c r="L33" s="113"/>
    </row>
    <row r="34" spans="1:12" ht="16.8">
      <c r="A34" s="114" t="s">
        <v>163</v>
      </c>
      <c r="B34" s="115"/>
      <c r="C34" s="115"/>
      <c r="D34" s="115"/>
      <c r="E34" s="115"/>
      <c r="F34" s="115"/>
      <c r="G34" s="115"/>
      <c r="H34" s="115"/>
      <c r="I34" s="115"/>
      <c r="J34" s="115"/>
      <c r="K34" s="115"/>
      <c r="L34" s="116"/>
    </row>
    <row r="35" spans="1:12" ht="34.950000000000003" customHeight="1">
      <c r="A35" s="48" t="s">
        <v>129</v>
      </c>
      <c r="B35" s="48" t="s">
        <v>164</v>
      </c>
      <c r="C35" s="46"/>
      <c r="D35" s="49" t="s">
        <v>165</v>
      </c>
      <c r="E35" s="49" t="s">
        <v>165</v>
      </c>
      <c r="F35" s="46" t="s">
        <v>55</v>
      </c>
      <c r="G35" s="47">
        <v>46120</v>
      </c>
      <c r="H35" s="46" t="s">
        <v>166</v>
      </c>
      <c r="I35" s="46" t="s">
        <v>55</v>
      </c>
      <c r="J35" s="47"/>
      <c r="K35" s="46"/>
      <c r="L35" s="46"/>
    </row>
    <row r="36" spans="1:12" ht="34.950000000000003" customHeight="1">
      <c r="A36" s="48" t="s">
        <v>132</v>
      </c>
      <c r="B36" s="48" t="s">
        <v>167</v>
      </c>
      <c r="C36" s="46"/>
      <c r="D36" s="49" t="s">
        <v>59</v>
      </c>
      <c r="E36" s="49" t="s">
        <v>59</v>
      </c>
      <c r="F36" s="46" t="s">
        <v>55</v>
      </c>
      <c r="G36" s="47">
        <v>46120</v>
      </c>
      <c r="H36" s="46" t="s">
        <v>166</v>
      </c>
      <c r="I36" s="46" t="s">
        <v>55</v>
      </c>
      <c r="J36" s="47"/>
      <c r="K36" s="46"/>
      <c r="L36" s="46"/>
    </row>
    <row r="37" spans="1:12" ht="34.950000000000003" customHeight="1">
      <c r="A37" s="48" t="s">
        <v>134</v>
      </c>
      <c r="B37" s="48" t="s">
        <v>168</v>
      </c>
      <c r="C37" s="46"/>
      <c r="D37" s="49" t="s">
        <v>61</v>
      </c>
      <c r="E37" s="49" t="s">
        <v>61</v>
      </c>
      <c r="F37" s="46" t="s">
        <v>55</v>
      </c>
      <c r="G37" s="47">
        <v>46120</v>
      </c>
      <c r="H37" s="46" t="s">
        <v>166</v>
      </c>
      <c r="I37" s="46" t="s">
        <v>55</v>
      </c>
      <c r="J37" s="47"/>
      <c r="K37" s="46"/>
      <c r="L37" s="46"/>
    </row>
    <row r="38" spans="1:12" ht="34.950000000000003" customHeight="1">
      <c r="A38" s="48" t="s">
        <v>135</v>
      </c>
      <c r="B38" s="48" t="s">
        <v>169</v>
      </c>
      <c r="C38" s="46"/>
      <c r="D38" s="49" t="s">
        <v>98</v>
      </c>
      <c r="E38" s="49" t="s">
        <v>98</v>
      </c>
      <c r="F38" s="46" t="s">
        <v>55</v>
      </c>
      <c r="G38" s="47">
        <v>46120</v>
      </c>
      <c r="H38" s="46" t="s">
        <v>166</v>
      </c>
      <c r="I38" s="46" t="s">
        <v>55</v>
      </c>
      <c r="J38" s="47"/>
      <c r="K38" s="46"/>
      <c r="L38" s="46"/>
    </row>
    <row r="39" spans="1:12" ht="34.950000000000003" customHeight="1">
      <c r="A39" s="48" t="s">
        <v>137</v>
      </c>
      <c r="B39" s="46" t="s">
        <v>170</v>
      </c>
      <c r="C39" s="46"/>
      <c r="D39" s="49" t="s">
        <v>59</v>
      </c>
      <c r="E39" s="49" t="s">
        <v>59</v>
      </c>
      <c r="F39" s="46" t="s">
        <v>55</v>
      </c>
      <c r="G39" s="47">
        <v>46120</v>
      </c>
      <c r="H39" s="46" t="s">
        <v>166</v>
      </c>
      <c r="I39" s="46" t="s">
        <v>55</v>
      </c>
      <c r="J39" s="47"/>
      <c r="K39" s="46"/>
      <c r="L39" s="46"/>
    </row>
    <row r="40" spans="1:12" ht="34.950000000000003" customHeight="1">
      <c r="A40" s="48" t="s">
        <v>139</v>
      </c>
      <c r="B40" s="46" t="s">
        <v>171</v>
      </c>
      <c r="C40" s="46"/>
      <c r="D40" s="49" t="s">
        <v>61</v>
      </c>
      <c r="E40" s="49" t="s">
        <v>61</v>
      </c>
      <c r="F40" s="46" t="s">
        <v>55</v>
      </c>
      <c r="G40" s="47">
        <v>46120</v>
      </c>
      <c r="H40" s="46" t="s">
        <v>166</v>
      </c>
      <c r="I40" s="46" t="s">
        <v>55</v>
      </c>
      <c r="J40" s="47"/>
      <c r="K40" s="46"/>
      <c r="L40" s="46"/>
    </row>
    <row r="41" spans="1:12" ht="34.950000000000003" customHeight="1">
      <c r="A41" s="48" t="s">
        <v>141</v>
      </c>
      <c r="B41" s="46" t="s">
        <v>172</v>
      </c>
      <c r="C41" s="46"/>
      <c r="D41" s="49" t="s">
        <v>173</v>
      </c>
      <c r="E41" s="48" t="s">
        <v>173</v>
      </c>
      <c r="F41" s="46" t="s">
        <v>55</v>
      </c>
      <c r="G41" s="47">
        <v>46120</v>
      </c>
      <c r="H41" s="46" t="s">
        <v>166</v>
      </c>
      <c r="I41" s="46" t="s">
        <v>55</v>
      </c>
      <c r="J41" s="47"/>
      <c r="K41" s="46"/>
      <c r="L41" s="46"/>
    </row>
    <row r="42" spans="1:12" ht="34.950000000000003" customHeight="1">
      <c r="A42" s="48" t="s">
        <v>144</v>
      </c>
      <c r="B42" s="46" t="s">
        <v>174</v>
      </c>
      <c r="C42" s="46"/>
      <c r="D42" s="49" t="s">
        <v>61</v>
      </c>
      <c r="E42" s="49" t="s">
        <v>61</v>
      </c>
      <c r="F42" s="46" t="s">
        <v>55</v>
      </c>
      <c r="G42" s="47">
        <v>46120</v>
      </c>
      <c r="H42" s="46" t="s">
        <v>166</v>
      </c>
      <c r="I42" s="46" t="s">
        <v>55</v>
      </c>
      <c r="J42" s="47"/>
      <c r="K42" s="46"/>
      <c r="L42" s="46"/>
    </row>
    <row r="43" spans="1:12" ht="16.8">
      <c r="A43" s="117" t="s">
        <v>175</v>
      </c>
      <c r="B43" s="118"/>
      <c r="C43" s="118"/>
      <c r="D43" s="118"/>
      <c r="E43" s="118"/>
      <c r="F43" s="118"/>
      <c r="G43" s="118"/>
      <c r="H43" s="118"/>
      <c r="I43" s="118"/>
      <c r="J43" s="118"/>
      <c r="K43" s="118"/>
      <c r="L43" s="119"/>
    </row>
    <row r="44" spans="1:12" s="44" customFormat="1" ht="67.2">
      <c r="A44" s="49" t="s">
        <v>107</v>
      </c>
      <c r="B44" s="49" t="s">
        <v>176</v>
      </c>
      <c r="C44" s="49" t="s">
        <v>177</v>
      </c>
      <c r="D44" s="46" t="s">
        <v>178</v>
      </c>
      <c r="E44" s="46" t="s">
        <v>178</v>
      </c>
      <c r="F44" s="46" t="s">
        <v>55</v>
      </c>
      <c r="G44" s="47">
        <v>46119</v>
      </c>
      <c r="H44" s="46" t="s">
        <v>166</v>
      </c>
      <c r="I44" s="46" t="s">
        <v>55</v>
      </c>
      <c r="J44" s="47">
        <v>46120</v>
      </c>
      <c r="K44" s="46" t="s">
        <v>166</v>
      </c>
      <c r="L44" s="46"/>
    </row>
    <row r="45" spans="1:12" s="44" customFormat="1" ht="33.6">
      <c r="A45" s="49" t="s">
        <v>109</v>
      </c>
      <c r="B45" s="49" t="s">
        <v>179</v>
      </c>
      <c r="C45" s="49" t="s">
        <v>180</v>
      </c>
      <c r="D45" s="46" t="s">
        <v>181</v>
      </c>
      <c r="E45" s="46" t="s">
        <v>181</v>
      </c>
      <c r="F45" s="46" t="s">
        <v>55</v>
      </c>
      <c r="G45" s="47">
        <v>46119</v>
      </c>
      <c r="H45" s="46" t="s">
        <v>166</v>
      </c>
      <c r="I45" s="46" t="s">
        <v>55</v>
      </c>
      <c r="J45" s="47">
        <v>46120</v>
      </c>
      <c r="K45" s="46" t="s">
        <v>166</v>
      </c>
      <c r="L45" s="46"/>
    </row>
    <row r="46" spans="1:12" s="44" customFormat="1" ht="33.6">
      <c r="A46" s="49" t="s">
        <v>114</v>
      </c>
      <c r="B46" s="46" t="s">
        <v>182</v>
      </c>
      <c r="C46" s="49" t="s">
        <v>183</v>
      </c>
      <c r="D46" s="46" t="s">
        <v>184</v>
      </c>
      <c r="E46" s="46" t="s">
        <v>184</v>
      </c>
      <c r="F46" s="46" t="s">
        <v>55</v>
      </c>
      <c r="G46" s="47">
        <v>46119</v>
      </c>
      <c r="H46" s="46" t="s">
        <v>166</v>
      </c>
      <c r="I46" s="46" t="s">
        <v>55</v>
      </c>
      <c r="J46" s="47">
        <v>46120</v>
      </c>
      <c r="K46" s="46" t="s">
        <v>166</v>
      </c>
      <c r="L46" s="46"/>
    </row>
    <row r="47" spans="1:12" s="44" customFormat="1" ht="50.4">
      <c r="A47" s="49" t="s">
        <v>118</v>
      </c>
      <c r="B47" s="46" t="s">
        <v>185</v>
      </c>
      <c r="C47" s="49" t="s">
        <v>186</v>
      </c>
      <c r="D47" s="46" t="s">
        <v>187</v>
      </c>
      <c r="E47" s="46" t="s">
        <v>187</v>
      </c>
      <c r="F47" s="46" t="s">
        <v>55</v>
      </c>
      <c r="G47" s="47">
        <v>46119</v>
      </c>
      <c r="H47" s="46" t="s">
        <v>166</v>
      </c>
      <c r="I47" s="46" t="s">
        <v>55</v>
      </c>
      <c r="J47" s="47">
        <v>46120</v>
      </c>
      <c r="K47" s="46" t="s">
        <v>166</v>
      </c>
      <c r="L47" s="46"/>
    </row>
    <row r="48" spans="1:12" s="44" customFormat="1" ht="50.4">
      <c r="A48" s="49" t="s">
        <v>123</v>
      </c>
      <c r="B48" s="46" t="s">
        <v>185</v>
      </c>
      <c r="C48" s="49" t="s">
        <v>188</v>
      </c>
      <c r="D48" s="46" t="s">
        <v>189</v>
      </c>
      <c r="E48" s="46" t="s">
        <v>189</v>
      </c>
      <c r="F48" s="46" t="s">
        <v>55</v>
      </c>
      <c r="G48" s="47">
        <v>46119</v>
      </c>
      <c r="H48" s="46" t="s">
        <v>166</v>
      </c>
      <c r="I48" s="46" t="s">
        <v>55</v>
      </c>
      <c r="J48" s="47">
        <v>46120</v>
      </c>
      <c r="K48" s="46" t="s">
        <v>166</v>
      </c>
      <c r="L48" s="46"/>
    </row>
    <row r="49" spans="1:12" s="44" customFormat="1" ht="50.4">
      <c r="A49" s="49" t="s">
        <v>190</v>
      </c>
      <c r="B49" s="46" t="s">
        <v>185</v>
      </c>
      <c r="C49" s="49" t="s">
        <v>191</v>
      </c>
      <c r="D49" s="46" t="s">
        <v>192</v>
      </c>
      <c r="E49" s="46" t="s">
        <v>192</v>
      </c>
      <c r="F49" s="46" t="s">
        <v>55</v>
      </c>
      <c r="G49" s="47">
        <v>46119</v>
      </c>
      <c r="H49" s="46" t="s">
        <v>166</v>
      </c>
      <c r="I49" s="46" t="s">
        <v>55</v>
      </c>
      <c r="J49" s="47">
        <v>46120</v>
      </c>
      <c r="K49" s="46" t="s">
        <v>166</v>
      </c>
      <c r="L49" s="46"/>
    </row>
    <row r="50" spans="1:12" s="44" customFormat="1" ht="48" customHeight="1">
      <c r="A50" s="49" t="s">
        <v>193</v>
      </c>
      <c r="B50" s="46" t="s">
        <v>194</v>
      </c>
      <c r="C50" s="46" t="s">
        <v>195</v>
      </c>
      <c r="D50" s="46" t="s">
        <v>196</v>
      </c>
      <c r="E50" s="46" t="s">
        <v>196</v>
      </c>
      <c r="F50" s="46" t="s">
        <v>55</v>
      </c>
      <c r="G50" s="47">
        <v>46119</v>
      </c>
      <c r="H50" s="46" t="s">
        <v>166</v>
      </c>
      <c r="I50" s="46" t="s">
        <v>55</v>
      </c>
      <c r="J50" s="47">
        <v>46120</v>
      </c>
      <c r="K50" s="46" t="s">
        <v>166</v>
      </c>
      <c r="L50" s="46"/>
    </row>
    <row r="51" spans="1:12" ht="76.8" customHeight="1">
      <c r="A51" s="49" t="s">
        <v>197</v>
      </c>
      <c r="B51" s="46" t="s">
        <v>198</v>
      </c>
      <c r="C51" s="46" t="s">
        <v>199</v>
      </c>
      <c r="D51" s="46" t="s">
        <v>200</v>
      </c>
      <c r="E51" s="46" t="s">
        <v>200</v>
      </c>
      <c r="F51" s="46" t="s">
        <v>55</v>
      </c>
      <c r="G51" s="47">
        <v>46119</v>
      </c>
      <c r="H51" s="46" t="s">
        <v>166</v>
      </c>
      <c r="I51" s="46" t="s">
        <v>55</v>
      </c>
      <c r="J51" s="47">
        <v>46120</v>
      </c>
      <c r="K51" s="46" t="s">
        <v>166</v>
      </c>
      <c r="L51" s="46"/>
    </row>
    <row r="52" spans="1:12" ht="76.2" customHeight="1">
      <c r="A52" s="49" t="s">
        <v>201</v>
      </c>
      <c r="B52" s="46" t="s">
        <v>202</v>
      </c>
      <c r="C52" s="46" t="s">
        <v>203</v>
      </c>
      <c r="D52" s="46" t="s">
        <v>204</v>
      </c>
      <c r="E52" s="46" t="s">
        <v>204</v>
      </c>
      <c r="F52" s="46" t="s">
        <v>55</v>
      </c>
      <c r="G52" s="47">
        <v>46119</v>
      </c>
      <c r="H52" s="46" t="s">
        <v>166</v>
      </c>
      <c r="I52" s="46" t="s">
        <v>55</v>
      </c>
      <c r="J52" s="47">
        <v>46120</v>
      </c>
      <c r="K52" s="46" t="s">
        <v>166</v>
      </c>
      <c r="L52" s="46"/>
    </row>
  </sheetData>
  <mergeCells count="13">
    <mergeCell ref="B1:F1"/>
    <mergeCell ref="B2:F2"/>
    <mergeCell ref="A31:A33"/>
    <mergeCell ref="B31:B33"/>
    <mergeCell ref="C31:C33"/>
    <mergeCell ref="D31:D33"/>
    <mergeCell ref="E31:E33"/>
    <mergeCell ref="F31:K31"/>
    <mergeCell ref="L31:L33"/>
    <mergeCell ref="F32:H32"/>
    <mergeCell ref="I32:K32"/>
    <mergeCell ref="A34:L34"/>
    <mergeCell ref="A43:L43"/>
  </mergeCells>
  <dataValidations count="1">
    <dataValidation type="list" operator="equal" allowBlank="1" showErrorMessage="1" promptTitle="dfdf" sqref="I35:I42 F44:F52 F35:F42 I44:I52" xr:uid="{A5D2D62F-FA02-4F81-8DB1-812241E5581E}">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Trường hợp kiểm thử</vt:lpstr>
      <vt:lpstr>Báo cáo kiểm tra</vt:lpstr>
      <vt:lpstr>Đăng nhập</vt:lpstr>
      <vt:lpstr>Danh sách tài khoản</vt:lpstr>
      <vt:lpstr>Tra cứu nhật ký</vt:lpstr>
      <vt:lpstr>Quản lý thiết bị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2026-04-08T11:33:53Z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